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EM -BACKUP\9-PREM INFRA BACKUP\2-TAX INVOICE &amp; CHALLAN\TAX INVOICE 25-26\"/>
    </mc:Choice>
  </mc:AlternateContent>
  <xr:revisionPtr revIDLastSave="0" documentId="8_{BBCC2517-E0A6-4094-BFB9-23C9A88CBC12}" xr6:coauthVersionLast="47" xr6:coauthVersionMax="47" xr10:uidLastSave="{00000000-0000-0000-0000-000000000000}"/>
  <bookViews>
    <workbookView xWindow="-120" yWindow="-120" windowWidth="20730" windowHeight="11040" tabRatio="827" firstSheet="8" activeTab="11" xr2:uid="{00000000-000D-0000-FFFF-FFFF00000000}"/>
  </bookViews>
  <sheets>
    <sheet name="KAUSAR  (2)" sheetId="98" r:id="rId1"/>
    <sheet name="BLANK SHEET" sheetId="96" r:id="rId2"/>
    <sheet name="STAFF PAYMENT DETAILS" sheetId="82" r:id="rId3"/>
    <sheet name="COM-PAYSHEET" sheetId="80" r:id="rId4"/>
    <sheet name="Blank-Format (2)" sheetId="71" r:id="rId5"/>
    <sheet name="STAFF PAYMENT DETAIL" sheetId="54" r:id="rId6"/>
    <sheet name="PAYMENT DETAL" sheetId="48" r:id="rId7"/>
    <sheet name="WEEKLY-1" sheetId="89" r:id="rId8"/>
    <sheet name="MONTH ATENDENCE SHEET" sheetId="70" r:id="rId9"/>
    <sheet name="Staff" sheetId="26" r:id="rId10"/>
    <sheet name="UP" sheetId="100" r:id="rId11"/>
    <sheet name="NARESH" sheetId="103" r:id="rId12"/>
    <sheet name="Sheet1" sheetId="106" r:id="rId13"/>
  </sheets>
  <definedNames>
    <definedName name="_xlnm.Print_Area" localSheetId="1">'BLANK SHEET'!$A$1:$L$17</definedName>
    <definedName name="_xlnm.Print_Area" localSheetId="4">'Blank-Format (2)'!$A$1:$K$23</definedName>
    <definedName name="_xlnm.Print_Area" localSheetId="3">'COM-PAYSHEET'!$A$1:$L$28</definedName>
    <definedName name="_xlnm.Print_Area" localSheetId="0">'KAUSAR  (2)'!$A$1:$L$17</definedName>
    <definedName name="_xlnm.Print_Area" localSheetId="11">NARESH!$A$1:$L$27</definedName>
    <definedName name="_xlnm.Print_Area" localSheetId="6">'PAYMENT DETAL'!$A$1:$X$17</definedName>
    <definedName name="_xlnm.Print_Area" localSheetId="9">Staff!$A$1:$J$22</definedName>
    <definedName name="_xlnm.Print_Area" localSheetId="5">'STAFF PAYMENT DETAIL'!$A$1:$U$55</definedName>
    <definedName name="_xlnm.Print_Area" localSheetId="2">'STAFF PAYMENT DETAILS'!$A$1:$O$27</definedName>
    <definedName name="_xlnm.Print_Area" localSheetId="10">UP!$A$1:$L$17</definedName>
    <definedName name="_xlnm.Print_Titles" localSheetId="1">'BLANK SHEET'!$1:$5</definedName>
    <definedName name="_xlnm.Print_Titles" localSheetId="3">'COM-PAYSHEET'!$1:$5</definedName>
    <definedName name="_xlnm.Print_Titles" localSheetId="0">'KAUSAR  (2)'!$1:$5</definedName>
    <definedName name="_xlnm.Print_Titles" localSheetId="11">NARESH!$1:$5</definedName>
    <definedName name="_xlnm.Print_Titles" localSheetId="2">'STAFF PAYMENT DETAILS'!$1:$5</definedName>
    <definedName name="_xlnm.Print_Titles" localSheetId="10">UP!$1:$5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03" l="1"/>
  <c r="F26" i="103"/>
  <c r="I26" i="103" s="1"/>
  <c r="K26" i="103" s="1"/>
  <c r="H25" i="103"/>
  <c r="F25" i="103"/>
  <c r="H24" i="103"/>
  <c r="F24" i="103"/>
  <c r="H23" i="103"/>
  <c r="F23" i="103"/>
  <c r="H22" i="103"/>
  <c r="F22" i="103"/>
  <c r="I22" i="103" s="1"/>
  <c r="K22" i="103" s="1"/>
  <c r="H21" i="103"/>
  <c r="F21" i="103"/>
  <c r="H20" i="103"/>
  <c r="F20" i="103"/>
  <c r="H19" i="103"/>
  <c r="F19" i="103"/>
  <c r="H18" i="103"/>
  <c r="F18" i="103"/>
  <c r="H17" i="103"/>
  <c r="F17" i="103"/>
  <c r="H16" i="103"/>
  <c r="F16" i="103"/>
  <c r="H15" i="103"/>
  <c r="F15" i="103"/>
  <c r="H14" i="103"/>
  <c r="F14" i="103"/>
  <c r="I14" i="103" s="1"/>
  <c r="K14" i="103" s="1"/>
  <c r="H13" i="103"/>
  <c r="F13" i="103"/>
  <c r="H12" i="103"/>
  <c r="F12" i="103"/>
  <c r="H11" i="103"/>
  <c r="F11" i="103"/>
  <c r="H10" i="103"/>
  <c r="F10" i="103"/>
  <c r="I10" i="103" s="1"/>
  <c r="K10" i="103" s="1"/>
  <c r="H9" i="103"/>
  <c r="F9" i="103"/>
  <c r="J6" i="100"/>
  <c r="I11" i="103" l="1"/>
  <c r="K11" i="103" s="1"/>
  <c r="I15" i="103"/>
  <c r="K15" i="103" s="1"/>
  <c r="I23" i="103"/>
  <c r="K23" i="103" s="1"/>
  <c r="I16" i="103"/>
  <c r="K16" i="103" s="1"/>
  <c r="I20" i="103"/>
  <c r="K20" i="103" s="1"/>
  <c r="I9" i="103"/>
  <c r="K9" i="103" s="1"/>
  <c r="I17" i="103"/>
  <c r="K17" i="103" s="1"/>
  <c r="I21" i="103"/>
  <c r="K21" i="103" s="1"/>
  <c r="I12" i="103"/>
  <c r="K12" i="103" s="1"/>
  <c r="I18" i="103"/>
  <c r="K18" i="103" s="1"/>
  <c r="I24" i="103"/>
  <c r="K24" i="103" s="1"/>
  <c r="I13" i="103"/>
  <c r="K13" i="103" s="1"/>
  <c r="I19" i="103"/>
  <c r="K19" i="103" s="1"/>
  <c r="I25" i="103"/>
  <c r="K25" i="103" s="1"/>
  <c r="F12" i="100"/>
  <c r="H12" i="100"/>
  <c r="F13" i="100"/>
  <c r="I13" i="100" s="1"/>
  <c r="K13" i="100" s="1"/>
  <c r="H13" i="100"/>
  <c r="F14" i="100"/>
  <c r="H14" i="100"/>
  <c r="I14" i="100" s="1"/>
  <c r="K14" i="100" s="1"/>
  <c r="J17" i="100"/>
  <c r="F6" i="100"/>
  <c r="H6" i="100"/>
  <c r="I12" i="100" l="1"/>
  <c r="K12" i="100" s="1"/>
  <c r="I6" i="100"/>
  <c r="K6" i="100" s="1"/>
  <c r="K17" i="100" s="1"/>
  <c r="I6" i="26"/>
  <c r="I17" i="100" l="1"/>
  <c r="T7" i="100" l="1"/>
  <c r="T6" i="100"/>
  <c r="F6" i="103" l="1"/>
  <c r="J27" i="103" l="1"/>
  <c r="P7" i="100" l="1"/>
  <c r="U7" i="100" l="1"/>
  <c r="R9" i="103"/>
  <c r="H8" i="103"/>
  <c r="F8" i="103"/>
  <c r="R7" i="103"/>
  <c r="H7" i="103"/>
  <c r="F7" i="103"/>
  <c r="R6" i="103"/>
  <c r="H6" i="103"/>
  <c r="I8" i="103" l="1"/>
  <c r="K8" i="103" s="1"/>
  <c r="I7" i="103"/>
  <c r="K7" i="103" s="1"/>
  <c r="I6" i="103"/>
  <c r="K6" i="103" s="1"/>
  <c r="K27" i="103" s="1"/>
  <c r="I27" i="103" l="1"/>
  <c r="P6" i="100" l="1"/>
  <c r="O17" i="98"/>
  <c r="J17" i="98"/>
  <c r="H13" i="98"/>
  <c r="F13" i="98"/>
  <c r="I13" i="98" s="1"/>
  <c r="K13" i="98" s="1"/>
  <c r="H12" i="98"/>
  <c r="F12" i="98"/>
  <c r="I12" i="98" s="1"/>
  <c r="K12" i="98" s="1"/>
  <c r="H11" i="98"/>
  <c r="F11" i="98"/>
  <c r="H10" i="98"/>
  <c r="F10" i="98"/>
  <c r="H9" i="98"/>
  <c r="F9" i="98"/>
  <c r="I9" i="98" s="1"/>
  <c r="K9" i="98" s="1"/>
  <c r="R8" i="98"/>
  <c r="H8" i="98"/>
  <c r="F8" i="98"/>
  <c r="I8" i="98" s="1"/>
  <c r="K8" i="98" s="1"/>
  <c r="R7" i="98"/>
  <c r="H7" i="98"/>
  <c r="F7" i="98"/>
  <c r="R6" i="98"/>
  <c r="H6" i="98"/>
  <c r="F6" i="98"/>
  <c r="I7" i="98" l="1"/>
  <c r="K7" i="98" s="1"/>
  <c r="I11" i="98"/>
  <c r="K11" i="98" s="1"/>
  <c r="I6" i="98"/>
  <c r="K6" i="98" s="1"/>
  <c r="I10" i="98"/>
  <c r="K10" i="98" s="1"/>
  <c r="U6" i="100"/>
  <c r="O17" i="100"/>
  <c r="L9" i="98"/>
  <c r="I17" i="98"/>
  <c r="E10" i="106"/>
  <c r="K17" i="98" l="1"/>
  <c r="L19" i="98" s="1"/>
  <c r="L19" i="100"/>
  <c r="D10" i="106" l="1"/>
  <c r="F10" i="106" s="1"/>
  <c r="O17" i="96" l="1"/>
  <c r="R9" i="96"/>
  <c r="R7" i="96"/>
  <c r="R6" i="96"/>
  <c r="AN48" i="70" l="1"/>
  <c r="AN46" i="70"/>
  <c r="AM48" i="70"/>
  <c r="AN40" i="70"/>
  <c r="AN42" i="70"/>
  <c r="AO42" i="70" s="1"/>
  <c r="AQ42" i="70" s="1"/>
  <c r="AN44" i="70"/>
  <c r="AM40" i="70"/>
  <c r="AM42" i="70"/>
  <c r="AM44" i="70"/>
  <c r="AO44" i="70" l="1"/>
  <c r="AQ44" i="70" s="1"/>
  <c r="AO40" i="70"/>
  <c r="AQ40" i="70" s="1"/>
  <c r="AO48" i="70"/>
  <c r="AQ48" i="70" s="1"/>
  <c r="S40" i="89" l="1"/>
  <c r="R40" i="89"/>
  <c r="T40" i="89" s="1"/>
  <c r="S38" i="89"/>
  <c r="R38" i="89"/>
  <c r="T38" i="89" s="1"/>
  <c r="S36" i="89"/>
  <c r="R36" i="89"/>
  <c r="S34" i="89"/>
  <c r="R34" i="89"/>
  <c r="S32" i="89"/>
  <c r="R32" i="89"/>
  <c r="T32" i="89" s="1"/>
  <c r="S30" i="89"/>
  <c r="R30" i="89"/>
  <c r="T30" i="89" s="1"/>
  <c r="S28" i="89"/>
  <c r="R28" i="89"/>
  <c r="S26" i="89"/>
  <c r="R26" i="89"/>
  <c r="S24" i="89"/>
  <c r="R24" i="89"/>
  <c r="T24" i="89" s="1"/>
  <c r="S22" i="89"/>
  <c r="R22" i="89"/>
  <c r="T22" i="89" s="1"/>
  <c r="P21" i="89"/>
  <c r="S20" i="89" s="1"/>
  <c r="P20" i="89"/>
  <c r="R20" i="89" s="1"/>
  <c r="P19" i="89"/>
  <c r="S18" i="89" s="1"/>
  <c r="P18" i="89"/>
  <c r="R18" i="89" s="1"/>
  <c r="P17" i="89"/>
  <c r="S16" i="89" s="1"/>
  <c r="P16" i="89"/>
  <c r="R16" i="89" s="1"/>
  <c r="P15" i="89"/>
  <c r="S14" i="89" s="1"/>
  <c r="P14" i="89"/>
  <c r="R14" i="89" s="1"/>
  <c r="P13" i="89"/>
  <c r="S12" i="89" s="1"/>
  <c r="P12" i="89"/>
  <c r="R12" i="89" s="1"/>
  <c r="P11" i="89"/>
  <c r="S10" i="89" s="1"/>
  <c r="P10" i="89"/>
  <c r="R10" i="89" s="1"/>
  <c r="P9" i="89"/>
  <c r="S8" i="89" s="1"/>
  <c r="R8" i="89"/>
  <c r="P7" i="89"/>
  <c r="S6" i="89" s="1"/>
  <c r="P6" i="89"/>
  <c r="R6" i="89" s="1"/>
  <c r="T34" i="89" l="1"/>
  <c r="T20" i="89"/>
  <c r="T28" i="89"/>
  <c r="T36" i="89"/>
  <c r="T26" i="89"/>
  <c r="T10" i="89"/>
  <c r="T14" i="89"/>
  <c r="T16" i="89"/>
  <c r="T12" i="89"/>
  <c r="T18" i="89"/>
  <c r="T8" i="89"/>
  <c r="T6" i="89"/>
  <c r="Q8" i="54" l="1"/>
  <c r="R8" i="54" s="1"/>
  <c r="N12" i="82" l="1"/>
  <c r="N13" i="82"/>
  <c r="N14" i="82"/>
  <c r="P14" i="82" s="1"/>
  <c r="N15" i="82"/>
  <c r="P15" i="82" s="1"/>
  <c r="N16" i="82"/>
  <c r="P16" i="82" s="1"/>
  <c r="N17" i="82"/>
  <c r="P17" i="82" s="1"/>
  <c r="N18" i="82"/>
  <c r="P18" i="82" s="1"/>
  <c r="N19" i="82"/>
  <c r="P19" i="82" s="1"/>
  <c r="N20" i="82"/>
  <c r="P20" i="82" s="1"/>
  <c r="N21" i="82"/>
  <c r="P21" i="82" s="1"/>
  <c r="N22" i="82"/>
  <c r="P22" i="82" s="1"/>
  <c r="N23" i="82"/>
  <c r="P23" i="82" s="1"/>
  <c r="N24" i="82"/>
  <c r="P24" i="82" s="1"/>
  <c r="O6" i="82"/>
  <c r="E8" i="82"/>
  <c r="F8" i="82" s="1"/>
  <c r="G8" i="82" s="1"/>
  <c r="H8" i="82" s="1"/>
  <c r="E9" i="82"/>
  <c r="F9" i="82" s="1"/>
  <c r="E10" i="82"/>
  <c r="E11" i="82"/>
  <c r="F11" i="82" s="1"/>
  <c r="G11" i="82" s="1"/>
  <c r="H11" i="82" s="1"/>
  <c r="E7" i="82"/>
  <c r="F7" i="82" s="1"/>
  <c r="G7" i="82" s="1"/>
  <c r="H7" i="82" s="1"/>
  <c r="E6" i="82"/>
  <c r="F6" i="82" s="1"/>
  <c r="G6" i="82" s="1"/>
  <c r="H6" i="82" s="1"/>
  <c r="I6" i="82" s="1"/>
  <c r="J6" i="82" s="1"/>
  <c r="N26" i="82"/>
  <c r="P26" i="82" s="1"/>
  <c r="N25" i="82"/>
  <c r="P25" i="82" s="1"/>
  <c r="P13" i="82"/>
  <c r="P12" i="82"/>
  <c r="G9" i="82" l="1"/>
  <c r="H9" i="82" s="1"/>
  <c r="I9" i="82" s="1"/>
  <c r="J9" i="82" s="1"/>
  <c r="N6" i="82"/>
  <c r="P6" i="82" s="1"/>
  <c r="F10" i="82"/>
  <c r="G10" i="82" s="1"/>
  <c r="H10" i="82" s="1"/>
  <c r="I11" i="82"/>
  <c r="J11" i="82" s="1"/>
  <c r="I8" i="82"/>
  <c r="J8" i="82" s="1"/>
  <c r="I7" i="82"/>
  <c r="J7" i="82" s="1"/>
  <c r="F6" i="80"/>
  <c r="H6" i="80"/>
  <c r="F7" i="80"/>
  <c r="H7" i="80"/>
  <c r="F8" i="80"/>
  <c r="H8" i="80"/>
  <c r="F9" i="80"/>
  <c r="H9" i="80"/>
  <c r="F10" i="80"/>
  <c r="H10" i="80"/>
  <c r="F11" i="80"/>
  <c r="H11" i="80"/>
  <c r="F12" i="80"/>
  <c r="H12" i="80"/>
  <c r="F13" i="80"/>
  <c r="H13" i="80"/>
  <c r="F14" i="80"/>
  <c r="H14" i="80"/>
  <c r="F15" i="80"/>
  <c r="I15" i="80" s="1"/>
  <c r="K15" i="80" s="1"/>
  <c r="H15" i="80"/>
  <c r="F16" i="80"/>
  <c r="I16" i="80" s="1"/>
  <c r="K16" i="80" s="1"/>
  <c r="H16" i="80"/>
  <c r="F17" i="80"/>
  <c r="H17" i="80"/>
  <c r="F18" i="80"/>
  <c r="H18" i="80"/>
  <c r="F19" i="80"/>
  <c r="H19" i="80"/>
  <c r="F20" i="80"/>
  <c r="H20" i="80"/>
  <c r="F21" i="80"/>
  <c r="H21" i="80"/>
  <c r="F22" i="80"/>
  <c r="H22" i="80"/>
  <c r="F23" i="80"/>
  <c r="H23" i="80"/>
  <c r="F24" i="80"/>
  <c r="H24" i="80"/>
  <c r="F25" i="80"/>
  <c r="H25" i="80"/>
  <c r="H27" i="82" l="1"/>
  <c r="I12" i="80"/>
  <c r="K12" i="80" s="1"/>
  <c r="I6" i="80"/>
  <c r="K6" i="80" s="1"/>
  <c r="N11" i="82"/>
  <c r="P11" i="82" s="1"/>
  <c r="I17" i="80"/>
  <c r="K17" i="80" s="1"/>
  <c r="N9" i="82"/>
  <c r="N7" i="82"/>
  <c r="P7" i="82" s="1"/>
  <c r="I10" i="82"/>
  <c r="J10" i="82" s="1"/>
  <c r="N8" i="82"/>
  <c r="P8" i="82" s="1"/>
  <c r="I13" i="80"/>
  <c r="K13" i="80" s="1"/>
  <c r="I11" i="80"/>
  <c r="K11" i="80" s="1"/>
  <c r="I25" i="80"/>
  <c r="K25" i="80" s="1"/>
  <c r="I24" i="80"/>
  <c r="K24" i="80" s="1"/>
  <c r="I23" i="80"/>
  <c r="K23" i="80" s="1"/>
  <c r="I22" i="80"/>
  <c r="K22" i="80" s="1"/>
  <c r="I21" i="80"/>
  <c r="K21" i="80" s="1"/>
  <c r="I20" i="80"/>
  <c r="K20" i="80" s="1"/>
  <c r="I19" i="80"/>
  <c r="K19" i="80" s="1"/>
  <c r="I18" i="80"/>
  <c r="K18" i="80" s="1"/>
  <c r="I14" i="80"/>
  <c r="K14" i="80" s="1"/>
  <c r="I10" i="80"/>
  <c r="K10" i="80" s="1"/>
  <c r="I9" i="80"/>
  <c r="K9" i="80" s="1"/>
  <c r="I8" i="80"/>
  <c r="K8" i="80" s="1"/>
  <c r="I7" i="80"/>
  <c r="K7" i="80" s="1"/>
  <c r="P9" i="82"/>
  <c r="N10" i="82" l="1"/>
  <c r="P10" i="82" s="1"/>
  <c r="P27" i="82" s="1"/>
  <c r="K27" i="80"/>
  <c r="AN8" i="70" l="1"/>
  <c r="AN10" i="70"/>
  <c r="AN12" i="70"/>
  <c r="AN14" i="70"/>
  <c r="AN16" i="70"/>
  <c r="AN18" i="70"/>
  <c r="AN20" i="70"/>
  <c r="AN22" i="70"/>
  <c r="AN24" i="70"/>
  <c r="AN26" i="70"/>
  <c r="AN28" i="70"/>
  <c r="AN30" i="70"/>
  <c r="AN32" i="70"/>
  <c r="AN34" i="70"/>
  <c r="AN36" i="70"/>
  <c r="AN38" i="70"/>
  <c r="AM8" i="70"/>
  <c r="AM10" i="70"/>
  <c r="AM12" i="70"/>
  <c r="AO12" i="70" s="1"/>
  <c r="AQ12" i="70" s="1"/>
  <c r="AM14" i="70"/>
  <c r="AM16" i="70"/>
  <c r="AM18" i="70"/>
  <c r="AM20" i="70"/>
  <c r="AM22" i="70"/>
  <c r="AM24" i="70"/>
  <c r="AM26" i="70"/>
  <c r="AM28" i="70"/>
  <c r="AM30" i="70"/>
  <c r="AM32" i="70"/>
  <c r="AM34" i="70"/>
  <c r="AM36" i="70"/>
  <c r="AM38" i="70"/>
  <c r="AM46" i="70"/>
  <c r="AO46" i="70" s="1"/>
  <c r="AQ46" i="70" s="1"/>
  <c r="AK7" i="70"/>
  <c r="AN6" i="70" s="1"/>
  <c r="AK6" i="70"/>
  <c r="AM6" i="70" s="1"/>
  <c r="N26" i="71"/>
  <c r="AO10" i="70" l="1"/>
  <c r="AQ10" i="70" s="1"/>
  <c r="AO26" i="70"/>
  <c r="AQ26" i="70" s="1"/>
  <c r="AO34" i="70"/>
  <c r="AQ34" i="70" s="1"/>
  <c r="AO18" i="70"/>
  <c r="AQ18" i="70" s="1"/>
  <c r="AO32" i="70"/>
  <c r="AQ32" i="70" s="1"/>
  <c r="AO16" i="70"/>
  <c r="AQ16" i="70" s="1"/>
  <c r="AO24" i="70"/>
  <c r="AQ24" i="70" s="1"/>
  <c r="AO8" i="70"/>
  <c r="AQ8" i="70" s="1"/>
  <c r="AO30" i="70"/>
  <c r="AQ30" i="70" s="1"/>
  <c r="AO14" i="70"/>
  <c r="AQ14" i="70" s="1"/>
  <c r="AO28" i="70"/>
  <c r="AQ28" i="70" s="1"/>
  <c r="AO38" i="70"/>
  <c r="AQ38" i="70" s="1"/>
  <c r="AO22" i="70"/>
  <c r="AQ22" i="70" s="1"/>
  <c r="AO36" i="70"/>
  <c r="AQ36" i="70" s="1"/>
  <c r="AO20" i="70"/>
  <c r="AQ20" i="70" s="1"/>
  <c r="T24" i="48" l="1"/>
  <c r="Q7" i="48" l="1"/>
  <c r="T7" i="48" s="1"/>
  <c r="Q8" i="48"/>
  <c r="T8" i="48" s="1"/>
  <c r="Q9" i="48"/>
  <c r="T9" i="48" s="1"/>
  <c r="Q10" i="48"/>
  <c r="T10" i="48" s="1"/>
  <c r="Q11" i="48"/>
  <c r="T11" i="48" s="1"/>
  <c r="Q12" i="48"/>
  <c r="T12" i="48" s="1"/>
  <c r="Q13" i="48"/>
  <c r="T13" i="48" s="1"/>
  <c r="Q14" i="48"/>
  <c r="T14" i="48" s="1"/>
  <c r="Q15" i="48"/>
  <c r="T15" i="48" s="1"/>
  <c r="Q16" i="48"/>
  <c r="T16" i="48" s="1"/>
  <c r="Q17" i="48"/>
  <c r="T17" i="48" s="1"/>
  <c r="Q18" i="48"/>
  <c r="T18" i="48" s="1"/>
  <c r="Q19" i="48"/>
  <c r="T19" i="48" s="1"/>
  <c r="Q20" i="48"/>
  <c r="T20" i="48" s="1"/>
  <c r="Q21" i="48"/>
  <c r="T21" i="48" s="1"/>
  <c r="Q22" i="48"/>
  <c r="T22" i="48" s="1"/>
  <c r="Q23" i="48"/>
  <c r="T23" i="48" s="1"/>
  <c r="Q6" i="48"/>
  <c r="T6" i="48" s="1"/>
  <c r="I33" i="26" l="1"/>
  <c r="G32" i="26"/>
  <c r="I32" i="26" s="1"/>
  <c r="O31" i="26"/>
  <c r="G31" i="26"/>
  <c r="I31" i="26" s="1"/>
  <c r="O30" i="26"/>
  <c r="G30" i="26"/>
  <c r="O29" i="26"/>
  <c r="O28" i="26"/>
  <c r="H28" i="26" s="1"/>
  <c r="F28" i="26"/>
  <c r="G28" i="26" s="1"/>
  <c r="O27" i="26"/>
  <c r="H27" i="26" s="1"/>
  <c r="F27" i="26"/>
  <c r="G27" i="26" s="1"/>
  <c r="O26" i="26"/>
  <c r="H26" i="26" s="1"/>
  <c r="F26" i="26"/>
  <c r="G26" i="26" s="1"/>
  <c r="O25" i="26"/>
  <c r="F25" i="26"/>
  <c r="G25" i="26" s="1"/>
  <c r="I25" i="26" s="1"/>
  <c r="O7" i="26"/>
  <c r="O8" i="26"/>
  <c r="O9" i="26"/>
  <c r="O10" i="26"/>
  <c r="O11" i="26"/>
  <c r="O12" i="26"/>
  <c r="O6" i="26"/>
  <c r="K7" i="54"/>
  <c r="Q7" i="54" s="1"/>
  <c r="I28" i="26" l="1"/>
  <c r="Q9" i="54"/>
  <c r="R9" i="54" s="1"/>
  <c r="I29" i="26"/>
  <c r="I26" i="26"/>
  <c r="I27" i="26"/>
  <c r="I30" i="26"/>
  <c r="I22" i="26" l="1"/>
  <c r="R7" i="54"/>
  <c r="R24" i="54" s="1"/>
  <c r="Z16" i="48" l="1"/>
  <c r="Z21" i="48" s="1"/>
  <c r="AO6" i="70"/>
  <c r="AQ6" i="7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PREM</author>
  </authors>
  <commentList>
    <comment ref="B40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joining from 18th of feb
payment cleared up to july18th
</t>
        </r>
      </text>
    </comment>
    <comment ref="B4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joining fro 05 june
payment cleared up to july 5th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2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payment previous cleared paid 15000/-
kanpur site joined on 8th
 july
</t>
        </r>
      </text>
    </comment>
    <comment ref="Z42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aug leave from 06-08-14 to 12-08-14 join on 13-08-14
</t>
        </r>
      </text>
    </comment>
    <comment ref="B4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payment cleared up to  june-14 blance 5000/-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PREM</author>
  </authors>
  <commentList>
    <comment ref="B2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JOINED ON JUNE 15TH2015 AT SAURIKH SITE
</t>
        </r>
      </text>
    </comment>
    <comment ref="B29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PREM:</t>
        </r>
        <r>
          <rPr>
            <sz val="9"/>
            <color indexed="81"/>
            <rFont val="Tahoma"/>
            <family val="2"/>
          </rPr>
          <t xml:space="preserve">
JOINED ON JULY AT SAURIKH SITE
</t>
        </r>
      </text>
    </comment>
  </commentList>
</comments>
</file>

<file path=xl/sharedStrings.xml><?xml version="1.0" encoding="utf-8"?>
<sst xmlns="http://schemas.openxmlformats.org/spreadsheetml/2006/main" count="532" uniqueCount="215">
  <si>
    <t>Name of Employee</t>
  </si>
  <si>
    <t>Rate</t>
  </si>
  <si>
    <t>Amount</t>
  </si>
  <si>
    <t>Sr. No.</t>
  </si>
  <si>
    <t>Advance</t>
  </si>
  <si>
    <t>Signature</t>
  </si>
  <si>
    <t>Desig.</t>
  </si>
  <si>
    <t>PREM INFRASTRUCTURE PVT. LTD.</t>
  </si>
  <si>
    <t>SITE</t>
  </si>
  <si>
    <t xml:space="preserve">SAGER </t>
  </si>
  <si>
    <t>TOTAL</t>
  </si>
  <si>
    <t>PIPL</t>
  </si>
  <si>
    <t>Nor. Time</t>
  </si>
  <si>
    <t>O. Time</t>
  </si>
  <si>
    <t>G.Total</t>
  </si>
  <si>
    <t xml:space="preserve"> Net Pay. Amount</t>
  </si>
  <si>
    <t>Gr.Total</t>
  </si>
  <si>
    <t xml:space="preserve"> Net Pay. </t>
  </si>
  <si>
    <t xml:space="preserve">                       PREM INFRASTRUCTURE PVT. LTD.</t>
  </si>
  <si>
    <t>AUG</t>
  </si>
  <si>
    <t>SEP</t>
  </si>
  <si>
    <t>OCT</t>
  </si>
  <si>
    <t>BALANCE</t>
  </si>
  <si>
    <t>APRIL</t>
  </si>
  <si>
    <t>MAY</t>
  </si>
  <si>
    <t>JUN</t>
  </si>
  <si>
    <t>JULY</t>
  </si>
  <si>
    <t>NOV</t>
  </si>
  <si>
    <t>DEC</t>
  </si>
  <si>
    <t xml:space="preserve">PAID </t>
  </si>
  <si>
    <t>ADVANCE</t>
  </si>
  <si>
    <t>HELPER</t>
  </si>
  <si>
    <t>STAFF</t>
  </si>
  <si>
    <t>PREM PRAKASH SINGH</t>
  </si>
  <si>
    <t>TOTAL AMOUNT</t>
  </si>
  <si>
    <t>SR. SUP</t>
  </si>
  <si>
    <t>SUP</t>
  </si>
  <si>
    <t>JAN</t>
  </si>
  <si>
    <t>FEB</t>
  </si>
  <si>
    <t>MAR</t>
  </si>
  <si>
    <t>PREM P SINGH</t>
  </si>
  <si>
    <t>ADVANCE DETAIL</t>
  </si>
  <si>
    <t>TOAL ADV</t>
  </si>
  <si>
    <t>NET BALANCE</t>
  </si>
  <si>
    <t>SEPT</t>
  </si>
  <si>
    <t>MARC</t>
  </si>
  <si>
    <t>GRAND</t>
  </si>
  <si>
    <t>KAUSAR ALI</t>
  </si>
  <si>
    <t>CAR</t>
  </si>
  <si>
    <t>S.helper</t>
  </si>
  <si>
    <t>Rubel</t>
  </si>
  <si>
    <t>Name of Employe</t>
  </si>
  <si>
    <t>Carp.</t>
  </si>
  <si>
    <t xml:space="preserve">  </t>
  </si>
  <si>
    <t>BEER BHUWAN</t>
  </si>
  <si>
    <t>AJAY VISHWAKARMA</t>
  </si>
  <si>
    <t>P.P SINGH</t>
  </si>
  <si>
    <t>NAVAL SINGH</t>
  </si>
  <si>
    <t>IRFAN</t>
  </si>
  <si>
    <t>GORANG</t>
  </si>
  <si>
    <t>NISIKANT</t>
  </si>
  <si>
    <t>SIL-LKO-RBL</t>
  </si>
  <si>
    <t>B</t>
  </si>
  <si>
    <t>G</t>
  </si>
  <si>
    <t>COOK</t>
  </si>
  <si>
    <t>NIERANJAN</t>
  </si>
  <si>
    <t>DATE</t>
  </si>
  <si>
    <t>NT</t>
  </si>
  <si>
    <t>0T</t>
  </si>
  <si>
    <t>NAME</t>
  </si>
  <si>
    <t>RATE</t>
  </si>
  <si>
    <t>DESIG.</t>
  </si>
  <si>
    <t xml:space="preserve">NT / OT </t>
  </si>
  <si>
    <t>AMOUNT</t>
  </si>
  <si>
    <t>OT</t>
  </si>
  <si>
    <t>NET PAYABLE</t>
  </si>
  <si>
    <t>NT+OT</t>
  </si>
  <si>
    <t>IF ANY</t>
  </si>
  <si>
    <t>SIGNATURE</t>
  </si>
  <si>
    <t>PREM INFRASTRUCTURE (P) LIMITED</t>
  </si>
  <si>
    <t>DAYS (1=PRESENT &amp; 0 ABSENT)</t>
  </si>
  <si>
    <t>Sr.No.</t>
  </si>
  <si>
    <t>ABDUL SATTAR</t>
  </si>
  <si>
    <t>HELP</t>
  </si>
  <si>
    <t>RAFIKUL</t>
  </si>
  <si>
    <t>SHAKIL</t>
  </si>
  <si>
    <t>ARUN LAL</t>
  </si>
  <si>
    <t>ADVANCES</t>
  </si>
  <si>
    <t xml:space="preserve"> MONTHLY ADVANCE SHEET = FOR THE MONTH OF                                YEAR 2018</t>
  </si>
  <si>
    <t>TOTAL ADVANCE</t>
  </si>
  <si>
    <t>ISHWAR</t>
  </si>
  <si>
    <t>Azmail</t>
  </si>
  <si>
    <t>SAFIQOOL</t>
  </si>
  <si>
    <t>16 DAYS</t>
  </si>
  <si>
    <t>RAMPRATAP</t>
  </si>
  <si>
    <t>JUG PRASAD</t>
  </si>
  <si>
    <t>GOVIND</t>
  </si>
  <si>
    <t>RAMKUMAR</t>
  </si>
  <si>
    <t>ABHIRAM</t>
  </si>
  <si>
    <t>JIWAN</t>
  </si>
  <si>
    <t>HANNU MANDAL</t>
  </si>
  <si>
    <t>PAID</t>
  </si>
  <si>
    <t xml:space="preserve">  PAY SHEET FOR THE MONTH OF AUGUST-2018</t>
  </si>
  <si>
    <t>AUGUST</t>
  </si>
  <si>
    <t>beerbhuwN</t>
  </si>
  <si>
    <t>YADAV</t>
  </si>
  <si>
    <t>MIS</t>
  </si>
  <si>
    <t>SEPT.</t>
  </si>
  <si>
    <t>OCT.</t>
  </si>
  <si>
    <t>NOV.</t>
  </si>
  <si>
    <t>DEC.</t>
  </si>
  <si>
    <t>PPSINGH</t>
  </si>
  <si>
    <t>ARUN</t>
  </si>
  <si>
    <t>JAGDISH</t>
  </si>
  <si>
    <t>SHASHI</t>
  </si>
  <si>
    <t>SUBHASH</t>
  </si>
  <si>
    <t>BEERBHUWAN</t>
  </si>
  <si>
    <t>SICH</t>
  </si>
  <si>
    <t>SE</t>
  </si>
  <si>
    <t>F</t>
  </si>
  <si>
    <t>C</t>
  </si>
  <si>
    <t>JUNE</t>
  </si>
  <si>
    <t xml:space="preserve">  PAY SHEET FOR THE MONTH OF NOVEMBER-2018</t>
  </si>
  <si>
    <t>CARP</t>
  </si>
  <si>
    <r>
      <t xml:space="preserve">DAYS (1=PRESENT &amp; </t>
    </r>
    <r>
      <rPr>
        <sz val="10"/>
        <color rgb="FFFF0000"/>
        <rFont val="Arial"/>
        <family val="2"/>
      </rPr>
      <t>0</t>
    </r>
    <r>
      <rPr>
        <sz val="10"/>
        <rFont val="Arial"/>
        <family val="2"/>
      </rPr>
      <t xml:space="preserve"> ABSENT) </t>
    </r>
  </si>
  <si>
    <t xml:space="preserve">                                 PAY SHEET FOR THE MONTH OF   APRIL - 2019</t>
  </si>
  <si>
    <t>SUNIL</t>
  </si>
  <si>
    <t xml:space="preserve">  PAY SHEET FOR THE MONTH OF up to APRIL 19</t>
  </si>
  <si>
    <t>SITE IN CHARGE</t>
  </si>
  <si>
    <t>SR.JR</t>
  </si>
  <si>
    <t>SANJAY</t>
  </si>
  <si>
    <t>VINOD</t>
  </si>
  <si>
    <t>SITESHW</t>
  </si>
  <si>
    <t>BALALESNDRA</t>
  </si>
  <si>
    <t>AKHILESH</t>
  </si>
  <si>
    <t>RAM BRIKSH</t>
  </si>
  <si>
    <t>PAY SHEET FOR THE MONTH OF     JANUARY                /      2021</t>
  </si>
  <si>
    <t>GORA</t>
  </si>
  <si>
    <t>aklu bal all paid in cash 40000+25000 by account deposit</t>
  </si>
  <si>
    <t>UMERKOTE SITE</t>
  </si>
  <si>
    <t>PRA</t>
  </si>
  <si>
    <t>BADRU</t>
  </si>
  <si>
    <t>CHAINU</t>
  </si>
  <si>
    <t>SUTAM</t>
  </si>
  <si>
    <t>DURJAN</t>
  </si>
  <si>
    <t>LUCKY</t>
  </si>
  <si>
    <t>DHAINU</t>
  </si>
  <si>
    <t>KAMLO</t>
  </si>
  <si>
    <t>NARENDRO</t>
  </si>
  <si>
    <t>GOPI</t>
  </si>
  <si>
    <t>DASO</t>
  </si>
  <si>
    <t>KUSTO</t>
  </si>
  <si>
    <t>RAJMAN</t>
  </si>
  <si>
    <t>KUMO</t>
  </si>
  <si>
    <t>RAGHU</t>
  </si>
  <si>
    <t>MAHENDRO</t>
  </si>
  <si>
    <t>AKLU</t>
  </si>
  <si>
    <t>MANGLO</t>
  </si>
  <si>
    <t>ASHOK</t>
  </si>
  <si>
    <t>JAIGO</t>
  </si>
  <si>
    <t>SR. CARP</t>
  </si>
  <si>
    <t>JR.MES</t>
  </si>
  <si>
    <r>
      <rPr>
        <sz val="10"/>
        <rFont val="Arial"/>
        <family val="2"/>
      </rPr>
      <t>PAY SHEET FOR THE MONTH OF</t>
    </r>
    <r>
      <rPr>
        <b/>
        <sz val="10"/>
        <rFont val="Arial"/>
        <family val="2"/>
      </rPr>
      <t xml:space="preserve">   MAY / 2022</t>
    </r>
  </si>
  <si>
    <t>KAUSOR</t>
  </si>
  <si>
    <t>17-07-22</t>
  </si>
  <si>
    <t>MENSARUL</t>
  </si>
  <si>
    <t>ISLAM</t>
  </si>
  <si>
    <t>10000PAIDAS JAN-22 BL</t>
  </si>
  <si>
    <t>20000 BL</t>
  </si>
  <si>
    <t xml:space="preserve">  PAY SHEET FOR THE MONTH OF                        </t>
  </si>
  <si>
    <t>RAM SARDAR</t>
  </si>
  <si>
    <t>TAPUS</t>
  </si>
  <si>
    <t>LALTA</t>
  </si>
  <si>
    <t>KOKIL</t>
  </si>
  <si>
    <t>SUJOL</t>
  </si>
  <si>
    <t xml:space="preserve">  PAY SHEET FOR THE MONTH OF DECEMBER- 2023</t>
  </si>
  <si>
    <t>AZAD</t>
  </si>
  <si>
    <t>SITE ENG</t>
  </si>
  <si>
    <t>JR</t>
  </si>
  <si>
    <t>ADV</t>
  </si>
  <si>
    <t>NARESH PRASAD MAHTO</t>
  </si>
  <si>
    <t>BHAIRO RAI</t>
  </si>
  <si>
    <t>JAI NARAYAN</t>
  </si>
  <si>
    <t>TRIBHUVAN MAHTO</t>
  </si>
  <si>
    <t>MANISH MAHTO</t>
  </si>
  <si>
    <t>GOVIND MAHTO</t>
  </si>
  <si>
    <t>MUKESH RAI</t>
  </si>
  <si>
    <t>ANTU RAI</t>
  </si>
  <si>
    <t>MANOJ RAI</t>
  </si>
  <si>
    <t>RAJESH RAI</t>
  </si>
  <si>
    <t>RUBEL GANG</t>
  </si>
  <si>
    <t xml:space="preserve">KAUSOR </t>
  </si>
  <si>
    <t>BALLIA</t>
  </si>
  <si>
    <t>JHARKHAND</t>
  </si>
  <si>
    <t>TOTAL PAY</t>
  </si>
  <si>
    <t>GANG</t>
  </si>
  <si>
    <t>TOTAL ADV</t>
  </si>
  <si>
    <t>MARCH</t>
  </si>
  <si>
    <t>BHUNESHWAR RAI</t>
  </si>
  <si>
    <t>JAGESHWAR GOP</t>
  </si>
  <si>
    <t>MOHIT MAHTO</t>
  </si>
  <si>
    <t>UTTAM RAI</t>
  </si>
  <si>
    <t>MODI</t>
  </si>
  <si>
    <t>TEK LAL</t>
  </si>
  <si>
    <t xml:space="preserve">  PAY SHEET FOR THE MONTH OF SEPT-2024</t>
  </si>
  <si>
    <t>PAID 5000</t>
  </si>
  <si>
    <t>PAID 15000</t>
  </si>
  <si>
    <t>KEDAR MAHTO</t>
  </si>
  <si>
    <t>NAGENDRA RAY</t>
  </si>
  <si>
    <t>BABLU</t>
  </si>
  <si>
    <t>SHIV NARAYAN</t>
  </si>
  <si>
    <t>LAKHAN</t>
  </si>
  <si>
    <t xml:space="preserve">  PAY SHEET FOR THE MONTH OF JANUARY-2026</t>
  </si>
  <si>
    <t>GFEW-GHAZIPUR</t>
  </si>
  <si>
    <t xml:space="preserve">  PAY SHEET FOR THE MONTH OF JANUARY- 2026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</si>
</sst>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.00;[Red]0.00"/>
    <numFmt numFmtId="165" formatCode="0;[Red]0"/>
  </numFmts>
  <fonts count="4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6"/>
      <name val="Bodoni MT Black"/>
      <family val="1"/>
    </font>
    <font>
      <sz val="10"/>
      <name val="Arial"/>
      <family val="2"/>
    </font>
    <font>
      <b/>
      <i/>
      <sz val="14"/>
      <name val="Arial"/>
      <family val="2"/>
    </font>
    <font>
      <b/>
      <i/>
      <u/>
      <sz val="10"/>
      <name val="Arial"/>
      <family val="2"/>
    </font>
    <font>
      <i/>
      <u/>
      <sz val="10"/>
      <name val="Arial"/>
      <family val="2"/>
    </font>
    <font>
      <b/>
      <i/>
      <sz val="10"/>
      <name val="Arial"/>
      <family val="2"/>
    </font>
    <font>
      <b/>
      <sz val="10"/>
      <color indexed="10"/>
      <name val="Arial"/>
      <family val="2"/>
    </font>
    <font>
      <b/>
      <i/>
      <sz val="16"/>
      <name val="Arial"/>
      <family val="2"/>
    </font>
    <font>
      <sz val="10"/>
      <color indexed="10"/>
      <name val="Arial"/>
      <family val="2"/>
    </font>
    <font>
      <b/>
      <i/>
      <sz val="16"/>
      <name val="Baskerville Old Face"/>
      <family val="1"/>
    </font>
    <font>
      <b/>
      <i/>
      <sz val="8"/>
      <name val="Arial"/>
      <family val="2"/>
    </font>
    <font>
      <b/>
      <i/>
      <u/>
      <sz val="8"/>
      <name val="Arial"/>
      <family val="2"/>
    </font>
    <font>
      <i/>
      <u/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u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i/>
      <sz val="10"/>
      <color rgb="FFFF0000"/>
      <name val="Arial"/>
      <family val="2"/>
    </font>
    <font>
      <b/>
      <u/>
      <sz val="10"/>
      <color rgb="FF0070C0"/>
      <name val="Arial"/>
      <family val="2"/>
    </font>
    <font>
      <b/>
      <sz val="11"/>
      <color rgb="FFFF0000"/>
      <name val="Arial"/>
      <family val="2"/>
    </font>
    <font>
      <b/>
      <i/>
      <sz val="16"/>
      <name val="Times New Roman"/>
      <family val="1"/>
    </font>
    <font>
      <b/>
      <i/>
      <sz val="20"/>
      <name val="Times New Roman"/>
      <family val="1"/>
    </font>
    <font>
      <b/>
      <i/>
      <sz val="22"/>
      <name val="Times New Roman"/>
      <family val="1"/>
    </font>
    <font>
      <b/>
      <i/>
      <sz val="10"/>
      <name val="Times New Roman"/>
      <family val="1"/>
    </font>
    <font>
      <b/>
      <u/>
      <sz val="16"/>
      <name val="Times New Roman"/>
      <family val="1"/>
    </font>
    <font>
      <b/>
      <i/>
      <sz val="12"/>
      <name val="Times New Roman"/>
      <family val="1"/>
    </font>
    <font>
      <b/>
      <u/>
      <sz val="12"/>
      <name val="Arial"/>
      <family val="2"/>
    </font>
    <font>
      <b/>
      <sz val="20"/>
      <name val="Cambria"/>
      <family val="1"/>
      <scheme val="major"/>
    </font>
    <font>
      <b/>
      <sz val="9"/>
      <color indexed="10"/>
      <name val="Arial"/>
      <family val="2"/>
    </font>
    <font>
      <b/>
      <sz val="13"/>
      <name val="Arial"/>
      <family val="2"/>
    </font>
    <font>
      <b/>
      <sz val="10"/>
      <color rgb="FF0070C0"/>
      <name val="Arial"/>
      <family val="2"/>
    </font>
    <font>
      <b/>
      <sz val="10"/>
      <color rgb="FF7030A0"/>
      <name val="Arial"/>
      <family val="2"/>
    </font>
    <font>
      <b/>
      <sz val="10"/>
      <color rgb="FF00206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43" fontId="0" fillId="0" borderId="0" xfId="0" applyNumberFormat="1"/>
    <xf numFmtId="43" fontId="0" fillId="0" borderId="1" xfId="0" applyNumberFormat="1" applyBorder="1" applyAlignment="1">
      <alignment horizontal="center"/>
    </xf>
    <xf numFmtId="43" fontId="0" fillId="0" borderId="1" xfId="0" applyNumberFormat="1" applyBorder="1"/>
    <xf numFmtId="43" fontId="0" fillId="0" borderId="2" xfId="0" applyNumberFormat="1" applyBorder="1"/>
    <xf numFmtId="43" fontId="0" fillId="0" borderId="3" xfId="0" applyNumberFormat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43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43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0" xfId="0" applyFill="1"/>
    <xf numFmtId="43" fontId="0" fillId="3" borderId="0" xfId="0" applyNumberFormat="1" applyFill="1"/>
    <xf numFmtId="0" fontId="5" fillId="3" borderId="0" xfId="0" applyFont="1" applyFill="1"/>
    <xf numFmtId="0" fontId="2" fillId="3" borderId="0" xfId="0" applyFont="1" applyFill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43" fontId="0" fillId="3" borderId="8" xfId="0" applyNumberFormat="1" applyFill="1" applyBorder="1"/>
    <xf numFmtId="0" fontId="0" fillId="3" borderId="10" xfId="0" applyFill="1" applyBorder="1"/>
    <xf numFmtId="0" fontId="2" fillId="3" borderId="11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43" fontId="0" fillId="3" borderId="13" xfId="0" applyNumberFormat="1" applyFill="1" applyBorder="1"/>
    <xf numFmtId="0" fontId="2" fillId="3" borderId="13" xfId="0" applyFont="1" applyFill="1" applyBorder="1"/>
    <xf numFmtId="0" fontId="0" fillId="3" borderId="14" xfId="0" applyFill="1" applyBorder="1"/>
    <xf numFmtId="0" fontId="0" fillId="0" borderId="0" xfId="0" applyAlignment="1">
      <alignment horizontal="left"/>
    </xf>
    <xf numFmtId="0" fontId="2" fillId="2" borderId="3" xfId="0" applyFont="1" applyFill="1" applyBorder="1" applyAlignment="1">
      <alignment horizontal="center"/>
    </xf>
    <xf numFmtId="43" fontId="2" fillId="2" borderId="3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9" xfId="0" applyFill="1" applyBorder="1"/>
    <xf numFmtId="0" fontId="2" fillId="3" borderId="14" xfId="0" applyFont="1" applyFill="1" applyBorder="1" applyAlignment="1">
      <alignment horizontal="center"/>
    </xf>
    <xf numFmtId="43" fontId="6" fillId="3" borderId="0" xfId="0" applyNumberFormat="1" applyFont="1" applyFill="1"/>
    <xf numFmtId="1" fontId="0" fillId="0" borderId="1" xfId="0" applyNumberForma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41" fontId="0" fillId="0" borderId="1" xfId="0" applyNumberFormat="1" applyBorder="1"/>
    <xf numFmtId="0" fontId="8" fillId="3" borderId="0" xfId="0" applyFont="1" applyFill="1"/>
    <xf numFmtId="43" fontId="9" fillId="3" borderId="0" xfId="0" applyNumberFormat="1" applyFont="1" applyFill="1"/>
    <xf numFmtId="0" fontId="9" fillId="3" borderId="0" xfId="0" applyFont="1" applyFill="1"/>
    <xf numFmtId="1" fontId="0" fillId="3" borderId="0" xfId="0" applyNumberFormat="1" applyFill="1" applyAlignment="1">
      <alignment horizontal="center"/>
    </xf>
    <xf numFmtId="1" fontId="0" fillId="3" borderId="13" xfId="0" applyNumberForma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1" fontId="0" fillId="3" borderId="0" xfId="0" applyNumberFormat="1" applyFill="1"/>
    <xf numFmtId="41" fontId="0" fillId="3" borderId="13" xfId="0" applyNumberFormat="1" applyFill="1" applyBorder="1"/>
    <xf numFmtId="41" fontId="2" fillId="2" borderId="5" xfId="0" applyNumberFormat="1" applyFont="1" applyFill="1" applyBorder="1" applyAlignment="1">
      <alignment horizontal="center"/>
    </xf>
    <xf numFmtId="41" fontId="0" fillId="2" borderId="1" xfId="0" applyNumberFormat="1" applyFill="1" applyBorder="1" applyAlignment="1">
      <alignment horizontal="center"/>
    </xf>
    <xf numFmtId="41" fontId="0" fillId="0" borderId="0" xfId="0" applyNumberFormat="1"/>
    <xf numFmtId="1" fontId="0" fillId="3" borderId="0" xfId="0" applyNumberFormat="1" applyFill="1"/>
    <xf numFmtId="1" fontId="0" fillId="3" borderId="13" xfId="0" applyNumberFormat="1" applyFill="1" applyBorder="1"/>
    <xf numFmtId="1" fontId="0" fillId="0" borderId="1" xfId="0" applyNumberFormat="1" applyBorder="1"/>
    <xf numFmtId="1" fontId="0" fillId="2" borderId="1" xfId="0" applyNumberFormat="1" applyFill="1" applyBorder="1" applyAlignment="1">
      <alignment horizontal="center"/>
    </xf>
    <xf numFmtId="1" fontId="0" fillId="0" borderId="0" xfId="0" applyNumberFormat="1"/>
    <xf numFmtId="1" fontId="0" fillId="0" borderId="2" xfId="0" applyNumberFormat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left"/>
    </xf>
    <xf numFmtId="2" fontId="10" fillId="3" borderId="11" xfId="0" applyNumberFormat="1" applyFont="1" applyFill="1" applyBorder="1" applyAlignment="1">
      <alignment horizontal="center"/>
    </xf>
    <xf numFmtId="0" fontId="11" fillId="0" borderId="1" xfId="0" applyFont="1" applyBorder="1"/>
    <xf numFmtId="1" fontId="2" fillId="0" borderId="1" xfId="0" applyNumberFormat="1" applyFont="1" applyBorder="1" applyAlignment="1">
      <alignment horizontal="right"/>
    </xf>
    <xf numFmtId="0" fontId="0" fillId="2" borderId="0" xfId="0" applyFill="1"/>
    <xf numFmtId="0" fontId="3" fillId="2" borderId="1" xfId="0" applyFont="1" applyFill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3" borderId="10" xfId="0" applyFont="1" applyFill="1" applyBorder="1"/>
    <xf numFmtId="0" fontId="6" fillId="3" borderId="0" xfId="0" applyFont="1" applyFill="1"/>
    <xf numFmtId="0" fontId="6" fillId="3" borderId="12" xfId="0" applyFont="1" applyFill="1" applyBorder="1"/>
    <xf numFmtId="0" fontId="6" fillId="3" borderId="13" xfId="0" applyFont="1" applyFill="1" applyBorder="1"/>
    <xf numFmtId="43" fontId="6" fillId="3" borderId="13" xfId="0" applyNumberFormat="1" applyFont="1" applyFill="1" applyBorder="1"/>
    <xf numFmtId="0" fontId="6" fillId="3" borderId="14" xfId="0" applyFont="1" applyFill="1" applyBorder="1"/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/>
    <xf numFmtId="0" fontId="6" fillId="0" borderId="2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43" fontId="6" fillId="0" borderId="1" xfId="0" applyNumberFormat="1" applyFont="1" applyBorder="1"/>
    <xf numFmtId="41" fontId="6" fillId="0" borderId="1" xfId="0" applyNumberFormat="1" applyFont="1" applyBorder="1" applyAlignment="1">
      <alignment horizontal="right"/>
    </xf>
    <xf numFmtId="43" fontId="6" fillId="0" borderId="0" xfId="0" applyNumberFormat="1" applyFont="1"/>
    <xf numFmtId="2" fontId="6" fillId="3" borderId="0" xfId="0" applyNumberFormat="1" applyFont="1" applyFill="1" applyAlignment="1">
      <alignment horizontal="center"/>
    </xf>
    <xf numFmtId="2" fontId="6" fillId="3" borderId="13" xfId="0" applyNumberFormat="1" applyFont="1" applyFill="1" applyBorder="1" applyAlignment="1">
      <alignment horizontal="center"/>
    </xf>
    <xf numFmtId="1" fontId="6" fillId="0" borderId="0" xfId="0" applyNumberFormat="1" applyFont="1"/>
    <xf numFmtId="1" fontId="6" fillId="0" borderId="17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1" fontId="6" fillId="3" borderId="0" xfId="0" applyNumberFormat="1" applyFont="1" applyFill="1" applyAlignment="1">
      <alignment horizontal="right"/>
    </xf>
    <xf numFmtId="1" fontId="9" fillId="3" borderId="0" xfId="0" applyNumberFormat="1" applyFont="1" applyFill="1" applyAlignment="1">
      <alignment horizontal="right"/>
    </xf>
    <xf numFmtId="1" fontId="6" fillId="3" borderId="13" xfId="0" applyNumberFormat="1" applyFont="1" applyFill="1" applyBorder="1" applyAlignment="1">
      <alignment horizontal="right"/>
    </xf>
    <xf numFmtId="1" fontId="6" fillId="0" borderId="0" xfId="0" applyNumberFormat="1" applyFont="1" applyAlignment="1">
      <alignment horizontal="right"/>
    </xf>
    <xf numFmtId="41" fontId="6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43" fontId="2" fillId="0" borderId="18" xfId="0" applyNumberFormat="1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0" fontId="6" fillId="0" borderId="3" xfId="0" applyFont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0" fontId="2" fillId="2" borderId="15" xfId="0" applyFont="1" applyFill="1" applyBorder="1" applyAlignment="1">
      <alignment horizontal="left"/>
    </xf>
    <xf numFmtId="1" fontId="6" fillId="0" borderId="3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1" fillId="3" borderId="7" xfId="0" applyFont="1" applyFill="1" applyBorder="1"/>
    <xf numFmtId="0" fontId="1" fillId="3" borderId="8" xfId="0" applyFont="1" applyFill="1" applyBorder="1"/>
    <xf numFmtId="1" fontId="1" fillId="3" borderId="8" xfId="0" applyNumberFormat="1" applyFont="1" applyFill="1" applyBorder="1"/>
    <xf numFmtId="43" fontId="15" fillId="3" borderId="8" xfId="0" applyNumberFormat="1" applyFont="1" applyFill="1" applyBorder="1"/>
    <xf numFmtId="1" fontId="15" fillId="3" borderId="8" xfId="0" applyNumberFormat="1" applyFont="1" applyFill="1" applyBorder="1"/>
    <xf numFmtId="1" fontId="15" fillId="3" borderId="8" xfId="0" applyNumberFormat="1" applyFont="1" applyFill="1" applyBorder="1" applyAlignment="1">
      <alignment horizontal="center"/>
    </xf>
    <xf numFmtId="1" fontId="1" fillId="3" borderId="8" xfId="0" applyNumberFormat="1" applyFont="1" applyFill="1" applyBorder="1" applyAlignment="1">
      <alignment horizontal="right"/>
    </xf>
    <xf numFmtId="2" fontId="1" fillId="3" borderId="8" xfId="0" applyNumberFormat="1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3" borderId="10" xfId="0" applyFont="1" applyFill="1" applyBorder="1"/>
    <xf numFmtId="0" fontId="1" fillId="3" borderId="0" xfId="0" applyFont="1" applyFill="1"/>
    <xf numFmtId="1" fontId="1" fillId="3" borderId="0" xfId="0" applyNumberFormat="1" applyFont="1" applyFill="1"/>
    <xf numFmtId="43" fontId="1" fillId="3" borderId="0" xfId="0" applyNumberFormat="1" applyFont="1" applyFill="1"/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1" fillId="0" borderId="0" xfId="0" applyFont="1"/>
    <xf numFmtId="43" fontId="17" fillId="3" borderId="0" xfId="0" applyNumberFormat="1" applyFont="1" applyFill="1"/>
    <xf numFmtId="1" fontId="17" fillId="3" borderId="0" xfId="0" applyNumberFormat="1" applyFont="1" applyFill="1"/>
    <xf numFmtId="1" fontId="17" fillId="3" borderId="0" xfId="0" applyNumberFormat="1" applyFont="1" applyFill="1" applyAlignment="1">
      <alignment horizontal="center"/>
    </xf>
    <xf numFmtId="1" fontId="17" fillId="3" borderId="0" xfId="0" applyNumberFormat="1" applyFont="1" applyFill="1" applyAlignment="1">
      <alignment horizontal="right"/>
    </xf>
    <xf numFmtId="2" fontId="15" fillId="3" borderId="11" xfId="0" applyNumberFormat="1" applyFont="1" applyFill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1" fillId="3" borderId="12" xfId="0" applyFont="1" applyFill="1" applyBorder="1"/>
    <xf numFmtId="0" fontId="1" fillId="3" borderId="13" xfId="0" applyFont="1" applyFill="1" applyBorder="1"/>
    <xf numFmtId="1" fontId="1" fillId="3" borderId="13" xfId="0" applyNumberFormat="1" applyFont="1" applyFill="1" applyBorder="1"/>
    <xf numFmtId="0" fontId="18" fillId="3" borderId="13" xfId="0" applyFont="1" applyFill="1" applyBorder="1"/>
    <xf numFmtId="43" fontId="1" fillId="3" borderId="13" xfId="0" applyNumberFormat="1" applyFont="1" applyFill="1" applyBorder="1"/>
    <xf numFmtId="1" fontId="1" fillId="3" borderId="13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right"/>
    </xf>
    <xf numFmtId="2" fontId="1" fillId="3" borderId="13" xfId="0" applyNumberFormat="1" applyFont="1" applyFill="1" applyBorder="1" applyAlignment="1">
      <alignment horizontal="center"/>
    </xf>
    <xf numFmtId="0" fontId="1" fillId="3" borderId="14" xfId="0" applyFont="1" applyFill="1" applyBorder="1"/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1" fontId="18" fillId="2" borderId="5" xfId="0" applyNumberFormat="1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43" fontId="18" fillId="2" borderId="15" xfId="0" applyNumberFormat="1" applyFont="1" applyFill="1" applyBorder="1" applyAlignment="1">
      <alignment horizontal="center" vertical="center"/>
    </xf>
    <xf numFmtId="1" fontId="18" fillId="2" borderId="15" xfId="0" applyNumberFormat="1" applyFont="1" applyFill="1" applyBorder="1" applyAlignment="1">
      <alignment horizontal="center" vertical="center"/>
    </xf>
    <xf numFmtId="1" fontId="18" fillId="2" borderId="15" xfId="0" applyNumberFormat="1" applyFont="1" applyFill="1" applyBorder="1" applyAlignment="1">
      <alignment horizontal="right" vertical="center"/>
    </xf>
    <xf numFmtId="2" fontId="18" fillId="2" borderId="15" xfId="0" applyNumberFormat="1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43" fontId="18" fillId="0" borderId="18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right" vertical="center"/>
    </xf>
    <xf numFmtId="1" fontId="19" fillId="0" borderId="1" xfId="0" applyNumberFormat="1" applyFont="1" applyBorder="1" applyAlignment="1">
      <alignment vertical="center"/>
    </xf>
    <xf numFmtId="1" fontId="19" fillId="0" borderId="3" xfId="0" applyNumberFormat="1" applyFont="1" applyBorder="1" applyAlignment="1">
      <alignment vertical="center"/>
    </xf>
    <xf numFmtId="1" fontId="18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vertical="center"/>
    </xf>
    <xf numFmtId="1" fontId="26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1" fontId="18" fillId="4" borderId="1" xfId="0" applyNumberFormat="1" applyFont="1" applyFill="1" applyBorder="1" applyAlignment="1">
      <alignment vertical="center"/>
    </xf>
    <xf numFmtId="1" fontId="18" fillId="4" borderId="17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" fontId="6" fillId="0" borderId="1" xfId="0" applyNumberFormat="1" applyFont="1" applyBorder="1" applyAlignment="1">
      <alignment vertical="center"/>
    </xf>
    <xf numFmtId="43" fontId="6" fillId="0" borderId="1" xfId="0" applyNumberFormat="1" applyFont="1" applyBorder="1" applyAlignment="1">
      <alignment vertical="center"/>
    </xf>
    <xf numFmtId="0" fontId="25" fillId="4" borderId="0" xfId="0" applyFont="1" applyFill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43" fontId="2" fillId="0" borderId="22" xfId="0" applyNumberFormat="1" applyFont="1" applyBorder="1" applyAlignment="1">
      <alignment horizontal="center"/>
    </xf>
    <xf numFmtId="0" fontId="25" fillId="4" borderId="1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4" fontId="28" fillId="0" borderId="1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/>
    <xf numFmtId="14" fontId="6" fillId="0" borderId="3" xfId="0" applyNumberFormat="1" applyFont="1" applyBorder="1" applyAlignment="1">
      <alignment horizontal="left"/>
    </xf>
    <xf numFmtId="43" fontId="6" fillId="0" borderId="3" xfId="0" applyNumberFormat="1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4" fontId="6" fillId="0" borderId="5" xfId="0" applyNumberFormat="1" applyFont="1" applyBorder="1" applyAlignment="1">
      <alignment horizontal="left"/>
    </xf>
    <xf numFmtId="1" fontId="6" fillId="0" borderId="5" xfId="0" applyNumberFormat="1" applyFont="1" applyBorder="1" applyAlignment="1">
      <alignment horizontal="right"/>
    </xf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right"/>
    </xf>
    <xf numFmtId="0" fontId="6" fillId="0" borderId="6" xfId="0" applyFont="1" applyBorder="1"/>
    <xf numFmtId="14" fontId="29" fillId="4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" fontId="30" fillId="0" borderId="1" xfId="0" applyNumberFormat="1" applyFont="1" applyBorder="1" applyAlignment="1">
      <alignment horizontal="right" vertical="center"/>
    </xf>
    <xf numFmtId="1" fontId="30" fillId="0" borderId="1" xfId="0" applyNumberFormat="1" applyFont="1" applyBorder="1" applyAlignment="1">
      <alignment vertical="center"/>
    </xf>
    <xf numFmtId="1" fontId="31" fillId="0" borderId="1" xfId="0" applyNumberFormat="1" applyFont="1" applyBorder="1" applyAlignment="1">
      <alignment horizontal="center" vertical="center"/>
    </xf>
    <xf numFmtId="1" fontId="31" fillId="0" borderId="1" xfId="0" applyNumberFormat="1" applyFont="1" applyBorder="1" applyAlignment="1">
      <alignment vertical="center"/>
    </xf>
    <xf numFmtId="1" fontId="27" fillId="0" borderId="1" xfId="0" applyNumberFormat="1" applyFont="1" applyBorder="1" applyAlignment="1">
      <alignment horizontal="center" vertical="center"/>
    </xf>
    <xf numFmtId="1" fontId="27" fillId="4" borderId="1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3" fontId="0" fillId="3" borderId="0" xfId="0" applyNumberFormat="1" applyFill="1"/>
    <xf numFmtId="3" fontId="0" fillId="3" borderId="13" xfId="0" applyNumberFormat="1" applyFill="1" applyBorder="1"/>
    <xf numFmtId="3" fontId="2" fillId="2" borderId="5" xfId="0" applyNumberFormat="1" applyFont="1" applyFill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6" fillId="0" borderId="23" xfId="0" applyNumberFormat="1" applyFont="1" applyBorder="1" applyAlignment="1">
      <alignment horizontal="left"/>
    </xf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0" borderId="0" xfId="0" applyNumberFormat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vertical="center"/>
    </xf>
    <xf numFmtId="1" fontId="26" fillId="4" borderId="17" xfId="0" applyNumberFormat="1" applyFont="1" applyFill="1" applyBorder="1" applyAlignment="1">
      <alignment vertical="center"/>
    </xf>
    <xf numFmtId="1" fontId="32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" fontId="18" fillId="2" borderId="24" xfId="0" applyNumberFormat="1" applyFont="1" applyFill="1" applyBorder="1" applyAlignment="1">
      <alignment horizontal="center" vertical="center"/>
    </xf>
    <xf numFmtId="43" fontId="18" fillId="2" borderId="25" xfId="0" applyNumberFormat="1" applyFont="1" applyFill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center" vertical="center"/>
    </xf>
    <xf numFmtId="1" fontId="18" fillId="2" borderId="6" xfId="0" applyNumberFormat="1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0" fillId="0" borderId="23" xfId="0" applyBorder="1"/>
    <xf numFmtId="1" fontId="18" fillId="4" borderId="1" xfId="0" applyNumberFormat="1" applyFont="1" applyFill="1" applyBorder="1" applyAlignment="1">
      <alignment horizontal="right" vertical="center"/>
    </xf>
    <xf numFmtId="1" fontId="25" fillId="4" borderId="17" xfId="0" applyNumberFormat="1" applyFont="1" applyFill="1" applyBorder="1" applyAlignment="1">
      <alignment vertical="center"/>
    </xf>
    <xf numFmtId="0" fontId="12" fillId="3" borderId="8" xfId="0" applyFont="1" applyFill="1" applyBorder="1"/>
    <xf numFmtId="0" fontId="24" fillId="3" borderId="0" xfId="0" applyFont="1" applyFill="1"/>
    <xf numFmtId="0" fontId="6" fillId="3" borderId="1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3" fontId="6" fillId="3" borderId="0" xfId="0" applyNumberFormat="1" applyFont="1" applyFill="1" applyAlignment="1">
      <alignment horizontal="center" vertical="center"/>
    </xf>
    <xf numFmtId="1" fontId="6" fillId="3" borderId="0" xfId="0" applyNumberFormat="1" applyFont="1" applyFill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43" fontId="6" fillId="3" borderId="13" xfId="0" applyNumberFormat="1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3" fontId="6" fillId="0" borderId="1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0" applyNumberFormat="1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7" xfId="0" applyBorder="1"/>
    <xf numFmtId="0" fontId="0" fillId="0" borderId="4" xfId="0" applyBorder="1"/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" fontId="0" fillId="4" borderId="1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19" xfId="0" applyBorder="1"/>
    <xf numFmtId="1" fontId="6" fillId="4" borderId="1" xfId="0" applyNumberFormat="1" applyFont="1" applyFill="1" applyBorder="1" applyAlignment="1">
      <alignment horizontal="center"/>
    </xf>
    <xf numFmtId="1" fontId="11" fillId="4" borderId="3" xfId="0" applyNumberFormat="1" applyFont="1" applyFill="1" applyBorder="1" applyAlignment="1">
      <alignment horizontal="center" vertical="center"/>
    </xf>
    <xf numFmtId="1" fontId="26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right" vertical="center"/>
    </xf>
    <xf numFmtId="1" fontId="19" fillId="4" borderId="1" xfId="0" applyNumberFormat="1" applyFont="1" applyFill="1" applyBorder="1" applyAlignment="1">
      <alignment vertical="center"/>
    </xf>
    <xf numFmtId="1" fontId="19" fillId="4" borderId="3" xfId="0" applyNumberFormat="1" applyFont="1" applyFill="1" applyBorder="1" applyAlignment="1">
      <alignment vertical="center"/>
    </xf>
    <xf numFmtId="1" fontId="1" fillId="4" borderId="3" xfId="0" applyNumberFormat="1" applyFont="1" applyFill="1" applyBorder="1" applyAlignment="1">
      <alignment horizontal="center" vertical="center"/>
    </xf>
    <xf numFmtId="1" fontId="26" fillId="4" borderId="17" xfId="0" applyNumberFormat="1" applyFont="1" applyFill="1" applyBorder="1" applyAlignment="1">
      <alignment horizontal="center" vertical="center"/>
    </xf>
    <xf numFmtId="1" fontId="27" fillId="4" borderId="1" xfId="0" applyNumberFormat="1" applyFont="1" applyFill="1" applyBorder="1" applyAlignment="1">
      <alignment vertical="center"/>
    </xf>
    <xf numFmtId="1" fontId="27" fillId="4" borderId="17" xfId="0" applyNumberFormat="1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vertical="center"/>
    </xf>
    <xf numFmtId="1" fontId="1" fillId="4" borderId="17" xfId="0" applyNumberFormat="1" applyFont="1" applyFill="1" applyBorder="1" applyAlignment="1">
      <alignment vertical="center"/>
    </xf>
    <xf numFmtId="1" fontId="1" fillId="4" borderId="17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right" vertical="center"/>
    </xf>
    <xf numFmtId="0" fontId="11" fillId="4" borderId="1" xfId="0" applyFont="1" applyFill="1" applyBorder="1" applyAlignment="1">
      <alignment vertical="center"/>
    </xf>
    <xf numFmtId="0" fontId="11" fillId="4" borderId="17" xfId="0" applyFont="1" applyFill="1" applyBorder="1" applyAlignment="1">
      <alignment vertical="center"/>
    </xf>
    <xf numFmtId="1" fontId="25" fillId="4" borderId="17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4" borderId="17" xfId="0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vertical="center"/>
    </xf>
    <xf numFmtId="43" fontId="6" fillId="4" borderId="1" xfId="0" applyNumberFormat="1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43" fontId="6" fillId="4" borderId="1" xfId="0" applyNumberFormat="1" applyFont="1" applyFill="1" applyBorder="1"/>
    <xf numFmtId="1" fontId="6" fillId="4" borderId="1" xfId="0" applyNumberFormat="1" applyFont="1" applyFill="1" applyBorder="1" applyAlignment="1">
      <alignment horizontal="right"/>
    </xf>
    <xf numFmtId="2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4" borderId="0" xfId="0" applyFont="1" applyFill="1"/>
    <xf numFmtId="0" fontId="6" fillId="4" borderId="0" xfId="0" applyFont="1" applyFill="1" applyAlignment="1">
      <alignment horizontal="center"/>
    </xf>
    <xf numFmtId="1" fontId="6" fillId="4" borderId="0" xfId="0" applyNumberFormat="1" applyFont="1" applyFill="1" applyAlignment="1">
      <alignment vertical="center"/>
    </xf>
    <xf numFmtId="1" fontId="6" fillId="4" borderId="1" xfId="0" applyNumberFormat="1" applyFont="1" applyFill="1" applyBorder="1" applyAlignment="1">
      <alignment vertical="center"/>
    </xf>
    <xf numFmtId="43" fontId="6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right"/>
    </xf>
    <xf numFmtId="0" fontId="11" fillId="0" borderId="3" xfId="0" applyFont="1" applyBorder="1"/>
    <xf numFmtId="2" fontId="18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33" fillId="3" borderId="10" xfId="0" applyFont="1" applyFill="1" applyBorder="1"/>
    <xf numFmtId="0" fontId="33" fillId="3" borderId="0" xfId="0" applyFont="1" applyFill="1"/>
    <xf numFmtId="0" fontId="8" fillId="3" borderId="0" xfId="0" applyFont="1" applyFill="1" applyAlignment="1">
      <alignment horizontal="right" vertical="center"/>
    </xf>
    <xf numFmtId="0" fontId="8" fillId="3" borderId="11" xfId="0" applyFont="1" applyFill="1" applyBorder="1" applyAlignment="1">
      <alignment horizontal="right"/>
    </xf>
    <xf numFmtId="0" fontId="0" fillId="0" borderId="35" xfId="0" applyBorder="1"/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8" xfId="0" applyBorder="1" applyAlignment="1">
      <alignment vertical="top"/>
    </xf>
    <xf numFmtId="0" fontId="0" fillId="0" borderId="8" xfId="0" applyBorder="1"/>
    <xf numFmtId="0" fontId="0" fillId="0" borderId="9" xfId="0" applyBorder="1"/>
    <xf numFmtId="0" fontId="0" fillId="0" borderId="13" xfId="0" applyBorder="1" applyAlignment="1">
      <alignment vertical="top"/>
    </xf>
    <xf numFmtId="0" fontId="0" fillId="0" borderId="13" xfId="0" applyBorder="1"/>
    <xf numFmtId="0" fontId="0" fillId="0" borderId="14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6" fillId="0" borderId="0" xfId="0" applyFont="1" applyAlignment="1">
      <alignment vertical="top"/>
    </xf>
    <xf numFmtId="0" fontId="0" fillId="0" borderId="40" xfId="0" applyBorder="1"/>
    <xf numFmtId="0" fontId="0" fillId="0" borderId="38" xfId="0" applyBorder="1"/>
    <xf numFmtId="0" fontId="8" fillId="3" borderId="11" xfId="0" applyFont="1" applyFill="1" applyBorder="1" applyAlignment="1">
      <alignment horizontal="right" vertical="center"/>
    </xf>
    <xf numFmtId="0" fontId="0" fillId="0" borderId="30" xfId="0" applyBorder="1" applyAlignment="1">
      <alignment wrapText="1"/>
    </xf>
    <xf numFmtId="2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1" fillId="0" borderId="1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17" xfId="0" applyNumberFormat="1" applyFont="1" applyBorder="1"/>
    <xf numFmtId="0" fontId="6" fillId="0" borderId="23" xfId="0" applyFont="1" applyBorder="1" applyAlignment="1">
      <alignment horizontal="center"/>
    </xf>
    <xf numFmtId="0" fontId="0" fillId="0" borderId="29" xfId="0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" xfId="0" applyBorder="1" applyAlignment="1">
      <alignment horizontal="center"/>
    </xf>
    <xf numFmtId="1" fontId="6" fillId="0" borderId="23" xfId="0" applyNumberFormat="1" applyFont="1" applyBorder="1" applyAlignment="1">
      <alignment horizontal="center"/>
    </xf>
    <xf numFmtId="1" fontId="22" fillId="0" borderId="1" xfId="0" applyNumberFormat="1" applyFont="1" applyBorder="1" applyAlignment="1">
      <alignment horizontal="center"/>
    </xf>
    <xf numFmtId="1" fontId="42" fillId="0" borderId="1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43" fillId="5" borderId="1" xfId="0" applyFont="1" applyFill="1" applyBorder="1" applyAlignment="1">
      <alignment horizontal="center"/>
    </xf>
    <xf numFmtId="0" fontId="44" fillId="0" borderId="0" xfId="0" applyFont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1" fontId="44" fillId="0" borderId="17" xfId="0" applyNumberFormat="1" applyFont="1" applyBorder="1" applyAlignment="1">
      <alignment horizontal="center"/>
    </xf>
    <xf numFmtId="1" fontId="44" fillId="0" borderId="1" xfId="0" applyNumberFormat="1" applyFont="1" applyBorder="1"/>
    <xf numFmtId="0" fontId="44" fillId="0" borderId="1" xfId="0" applyFont="1" applyBorder="1"/>
    <xf numFmtId="1" fontId="6" fillId="0" borderId="24" xfId="0" applyNumberFormat="1" applyFont="1" applyBorder="1" applyAlignment="1">
      <alignment horizontal="center" vertical="center"/>
    </xf>
    <xf numFmtId="1" fontId="7" fillId="3" borderId="8" xfId="0" applyNumberFormat="1" applyFont="1" applyFill="1" applyBorder="1" applyAlignment="1">
      <alignment horizontal="left"/>
    </xf>
    <xf numFmtId="1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/>
    <xf numFmtId="1" fontId="2" fillId="3" borderId="0" xfId="0" applyNumberFormat="1" applyFont="1" applyFill="1"/>
    <xf numFmtId="1" fontId="2" fillId="3" borderId="13" xfId="0" applyNumberFormat="1" applyFont="1" applyFill="1" applyBorder="1"/>
    <xf numFmtId="1" fontId="2" fillId="2" borderId="3" xfId="0" applyNumberFormat="1" applyFont="1" applyFill="1" applyBorder="1" applyAlignment="1">
      <alignment horizontal="center"/>
    </xf>
    <xf numFmtId="1" fontId="0" fillId="0" borderId="2" xfId="0" applyNumberFormat="1" applyBorder="1"/>
    <xf numFmtId="1" fontId="0" fillId="0" borderId="2" xfId="0" applyNumberFormat="1" applyBorder="1" applyAlignment="1">
      <alignment horizontal="center"/>
    </xf>
    <xf numFmtId="1" fontId="0" fillId="0" borderId="3" xfId="0" applyNumberFormat="1" applyBorder="1"/>
    <xf numFmtId="0" fontId="2" fillId="3" borderId="14" xfId="0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center" wrapText="1"/>
    </xf>
    <xf numFmtId="1" fontId="0" fillId="0" borderId="17" xfId="0" applyNumberFormat="1" applyBorder="1"/>
    <xf numFmtId="0" fontId="25" fillId="0" borderId="1" xfId="0" applyFont="1" applyBorder="1"/>
    <xf numFmtId="1" fontId="45" fillId="4" borderId="1" xfId="0" applyNumberFormat="1" applyFont="1" applyFill="1" applyBorder="1" applyAlignment="1">
      <alignment horizontal="center"/>
    </xf>
    <xf numFmtId="0" fontId="28" fillId="4" borderId="1" xfId="0" applyFont="1" applyFill="1" applyBorder="1"/>
    <xf numFmtId="1" fontId="2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25" fillId="4" borderId="1" xfId="0" applyFont="1" applyFill="1" applyBorder="1"/>
    <xf numFmtId="1" fontId="25" fillId="4" borderId="1" xfId="0" applyNumberFormat="1" applyFont="1" applyFill="1" applyBorder="1"/>
    <xf numFmtId="0" fontId="28" fillId="0" borderId="30" xfId="0" applyFont="1" applyBorder="1"/>
    <xf numFmtId="1" fontId="6" fillId="4" borderId="17" xfId="0" applyNumberFormat="1" applyFont="1" applyFill="1" applyBorder="1"/>
    <xf numFmtId="1" fontId="0" fillId="4" borderId="1" xfId="0" applyNumberFormat="1" applyFill="1" applyBorder="1"/>
    <xf numFmtId="0" fontId="0" fillId="0" borderId="45" xfId="0" applyBorder="1"/>
    <xf numFmtId="1" fontId="0" fillId="4" borderId="2" xfId="0" applyNumberForma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8" fillId="0" borderId="19" xfId="0" applyFont="1" applyBorder="1"/>
    <xf numFmtId="0" fontId="0" fillId="0" borderId="4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7" xfId="0" applyBorder="1"/>
    <xf numFmtId="0" fontId="28" fillId="5" borderId="1" xfId="0" applyFont="1" applyFill="1" applyBorder="1"/>
    <xf numFmtId="14" fontId="2" fillId="0" borderId="31" xfId="0" applyNumberFormat="1" applyFont="1" applyBorder="1" applyAlignment="1">
      <alignment horizontal="center" vertical="center"/>
    </xf>
    <xf numFmtId="14" fontId="0" fillId="0" borderId="3" xfId="0" applyNumberFormat="1" applyBorder="1"/>
    <xf numFmtId="0" fontId="6" fillId="0" borderId="3" xfId="0" applyFont="1" applyBorder="1"/>
    <xf numFmtId="1" fontId="6" fillId="4" borderId="1" xfId="0" applyNumberFormat="1" applyFont="1" applyFill="1" applyBorder="1"/>
    <xf numFmtId="1" fontId="6" fillId="4" borderId="2" xfId="0" applyNumberFormat="1" applyFont="1" applyFill="1" applyBorder="1" applyAlignment="1">
      <alignment horizontal="center"/>
    </xf>
    <xf numFmtId="1" fontId="28" fillId="0" borderId="19" xfId="0" applyNumberFormat="1" applyFont="1" applyBorder="1"/>
    <xf numFmtId="0" fontId="0" fillId="0" borderId="2" xfId="0" applyBorder="1" applyAlignment="1">
      <alignment horizontal="center"/>
    </xf>
    <xf numFmtId="1" fontId="3" fillId="0" borderId="6" xfId="0" applyNumberFormat="1" applyFont="1" applyBorder="1" applyAlignment="1">
      <alignment horizontal="center" vertical="center"/>
    </xf>
    <xf numFmtId="0" fontId="28" fillId="0" borderId="34" xfId="0" applyFont="1" applyBorder="1"/>
    <xf numFmtId="0" fontId="0" fillId="0" borderId="5" xfId="0" applyBorder="1" applyAlignment="1">
      <alignment horizontal="center" vertical="center"/>
    </xf>
    <xf numFmtId="1" fontId="28" fillId="0" borderId="30" xfId="0" applyNumberFormat="1" applyFont="1" applyBorder="1"/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9" xfId="0" applyFill="1" applyBorder="1"/>
    <xf numFmtId="1" fontId="28" fillId="4" borderId="1" xfId="0" applyNumberFormat="1" applyFont="1" applyFill="1" applyBorder="1"/>
    <xf numFmtId="0" fontId="6" fillId="4" borderId="2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2" fillId="5" borderId="3" xfId="0" applyFont="1" applyFill="1" applyBorder="1"/>
    <xf numFmtId="0" fontId="25" fillId="5" borderId="3" xfId="0" applyFont="1" applyFill="1" applyBorder="1"/>
    <xf numFmtId="1" fontId="2" fillId="4" borderId="17" xfId="0" applyNumberFormat="1" applyFont="1" applyFill="1" applyBorder="1"/>
    <xf numFmtId="0" fontId="6" fillId="5" borderId="3" xfId="0" applyFont="1" applyFill="1" applyBorder="1"/>
    <xf numFmtId="14" fontId="2" fillId="5" borderId="31" xfId="0" applyNumberFormat="1" applyFont="1" applyFill="1" applyBorder="1" applyAlignment="1">
      <alignment horizontal="center" vertical="center"/>
    </xf>
    <xf numFmtId="14" fontId="2" fillId="5" borderId="3" xfId="0" applyNumberFormat="1" applyFont="1" applyFill="1" applyBorder="1"/>
    <xf numFmtId="0" fontId="2" fillId="4" borderId="1" xfId="0" applyFont="1" applyFill="1" applyBorder="1"/>
    <xf numFmtId="0" fontId="2" fillId="0" borderId="2" xfId="0" applyFont="1" applyBorder="1"/>
    <xf numFmtId="0" fontId="46" fillId="3" borderId="10" xfId="0" applyFont="1" applyFill="1" applyBorder="1" applyAlignment="1">
      <alignment horizontal="center" vertical="center"/>
    </xf>
    <xf numFmtId="0" fontId="46" fillId="3" borderId="12" xfId="0" applyFont="1" applyFill="1" applyBorder="1" applyAlignment="1">
      <alignment horizontal="center" vertical="center"/>
    </xf>
    <xf numFmtId="0" fontId="47" fillId="2" borderId="31" xfId="0" applyFont="1" applyFill="1" applyBorder="1" applyAlignment="1">
      <alignment horizontal="center" vertical="center"/>
    </xf>
    <xf numFmtId="0" fontId="47" fillId="0" borderId="29" xfId="0" applyFont="1" applyBorder="1"/>
    <xf numFmtId="0" fontId="46" fillId="0" borderId="29" xfId="0" applyFont="1" applyBorder="1"/>
    <xf numFmtId="0" fontId="46" fillId="0" borderId="4" xfId="0" applyFont="1" applyBorder="1"/>
    <xf numFmtId="0" fontId="46" fillId="0" borderId="3" xfId="0" applyFont="1" applyBorder="1"/>
    <xf numFmtId="0" fontId="46" fillId="0" borderId="1" xfId="0" applyFont="1" applyBorder="1"/>
    <xf numFmtId="1" fontId="28" fillId="0" borderId="6" xfId="0" applyNumberFormat="1" applyFont="1" applyBorder="1"/>
    <xf numFmtId="0" fontId="47" fillId="4" borderId="1" xfId="0" applyFont="1" applyFill="1" applyBorder="1"/>
    <xf numFmtId="0" fontId="34" fillId="3" borderId="7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39" fillId="3" borderId="10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9" fillId="3" borderId="11" xfId="0" applyFont="1" applyFill="1" applyBorder="1" applyAlignment="1">
      <alignment horizontal="center" vertical="center"/>
    </xf>
    <xf numFmtId="0" fontId="35" fillId="3" borderId="7" xfId="0" applyFont="1" applyFill="1" applyBorder="1" applyAlignment="1">
      <alignment horizontal="center"/>
    </xf>
    <xf numFmtId="0" fontId="35" fillId="3" borderId="8" xfId="0" applyFont="1" applyFill="1" applyBorder="1" applyAlignment="1">
      <alignment horizontal="center"/>
    </xf>
    <xf numFmtId="0" fontId="35" fillId="3" borderId="9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8" fillId="0" borderId="37" xfId="0" applyFont="1" applyBorder="1" applyAlignment="1">
      <alignment horizontal="center" vertical="center" textRotation="90"/>
    </xf>
    <xf numFmtId="0" fontId="38" fillId="0" borderId="40" xfId="0" applyFont="1" applyBorder="1" applyAlignment="1">
      <alignment horizontal="center" vertical="center" textRotation="90"/>
    </xf>
    <xf numFmtId="0" fontId="38" fillId="0" borderId="41" xfId="0" applyFont="1" applyBorder="1" applyAlignment="1">
      <alignment horizontal="center" vertical="center" textRotation="90"/>
    </xf>
    <xf numFmtId="0" fontId="37" fillId="0" borderId="8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top"/>
    </xf>
    <xf numFmtId="0" fontId="2" fillId="0" borderId="39" xfId="0" applyFont="1" applyBorder="1" applyAlignment="1">
      <alignment horizontal="center" vertical="top"/>
    </xf>
    <xf numFmtId="0" fontId="6" fillId="0" borderId="43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1" fillId="0" borderId="2" xfId="0" applyFont="1" applyBorder="1" applyAlignment="1">
      <alignment horizontal="center" textRotation="45"/>
    </xf>
    <xf numFmtId="0" fontId="1" fillId="0" borderId="3" xfId="0" applyFont="1" applyBorder="1" applyAlignment="1">
      <alignment horizontal="center" textRotation="45"/>
    </xf>
    <xf numFmtId="0" fontId="0" fillId="0" borderId="43" xfId="0" applyBorder="1" applyAlignment="1">
      <alignment horizontal="center" vertical="center"/>
    </xf>
    <xf numFmtId="0" fontId="6" fillId="0" borderId="35" xfId="0" applyFont="1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6" fillId="0" borderId="34" xfId="0" applyFont="1" applyBorder="1" applyAlignment="1">
      <alignment horizontal="center"/>
    </xf>
    <xf numFmtId="0" fontId="0" fillId="0" borderId="3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top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18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  <xf numFmtId="0" fontId="40" fillId="3" borderId="7" xfId="0" applyFont="1" applyFill="1" applyBorder="1" applyAlignment="1">
      <alignment horizontal="center" vertical="center"/>
    </xf>
    <xf numFmtId="0" fontId="40" fillId="3" borderId="8" xfId="0" applyFont="1" applyFill="1" applyBorder="1" applyAlignment="1">
      <alignment horizontal="center" vertical="center"/>
    </xf>
    <xf numFmtId="0" fontId="40" fillId="3" borderId="9" xfId="0" applyFont="1" applyFill="1" applyBorder="1" applyAlignment="1">
      <alignment horizontal="center" vertical="center"/>
    </xf>
    <xf numFmtId="0" fontId="25" fillId="5" borderId="49" xfId="0" applyFont="1" applyFill="1" applyBorder="1" applyAlignment="1">
      <alignment horizontal="center" vertical="center"/>
    </xf>
    <xf numFmtId="0" fontId="25" fillId="5" borderId="50" xfId="0" applyFont="1" applyFill="1" applyBorder="1" applyAlignment="1">
      <alignment horizontal="center" vertical="center"/>
    </xf>
    <xf numFmtId="0" fontId="25" fillId="5" borderId="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selection sqref="A1:L1"/>
    </sheetView>
  </sheetViews>
  <sheetFormatPr defaultColWidth="9.140625" defaultRowHeight="12.75" x14ac:dyDescent="0.2"/>
  <cols>
    <col min="1" max="1" width="5.140625" style="1" customWidth="1"/>
    <col min="2" max="2" width="23.28515625" style="1" customWidth="1"/>
    <col min="3" max="3" width="6.140625" style="2" customWidth="1"/>
    <col min="4" max="4" width="6.140625" style="270" customWidth="1"/>
    <col min="5" max="5" width="8.42578125" style="2" customWidth="1"/>
    <col min="6" max="6" width="9.140625" style="2"/>
    <col min="7" max="7" width="7.28515625" style="2" customWidth="1"/>
    <col min="8" max="8" width="8.42578125" style="44" customWidth="1"/>
    <col min="9" max="9" width="8.7109375" style="44" customWidth="1"/>
    <col min="10" max="10" width="8" style="2" customWidth="1"/>
    <col min="11" max="11" width="15.5703125" style="44" customWidth="1"/>
    <col min="12" max="12" width="26.85546875" style="1" customWidth="1"/>
    <col min="13" max="19" width="9.140625" style="1"/>
    <col min="20" max="20" width="19" style="1" bestFit="1" customWidth="1"/>
    <col min="21" max="16384" width="9.140625" style="1"/>
  </cols>
  <sheetData>
    <row r="1" spans="1:21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9"/>
      <c r="M1" s="257"/>
    </row>
    <row r="2" spans="1:21" ht="20.25" x14ac:dyDescent="0.2">
      <c r="A2" s="248"/>
      <c r="B2" s="312" t="s">
        <v>11</v>
      </c>
      <c r="C2" s="249"/>
      <c r="D2" s="251"/>
      <c r="E2" s="249"/>
      <c r="F2" s="250"/>
      <c r="G2" s="249"/>
      <c r="H2" s="251"/>
      <c r="I2" s="251"/>
      <c r="J2" s="251"/>
      <c r="K2" s="55"/>
      <c r="L2" s="339" t="s">
        <v>139</v>
      </c>
      <c r="M2" s="257"/>
    </row>
    <row r="3" spans="1:21" ht="13.5" thickBot="1" x14ac:dyDescent="0.25">
      <c r="A3" s="440" t="s">
        <v>175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257"/>
      <c r="N3" s="3"/>
      <c r="O3" s="3"/>
      <c r="P3" s="3"/>
      <c r="Q3" s="3"/>
      <c r="R3" s="3"/>
    </row>
    <row r="4" spans="1:21" ht="13.5" thickBot="1" x14ac:dyDescent="0.25">
      <c r="A4" s="252"/>
      <c r="B4" s="253"/>
      <c r="C4" s="253"/>
      <c r="D4" s="256"/>
      <c r="E4" s="255"/>
      <c r="F4" s="254"/>
      <c r="G4" s="253"/>
      <c r="H4" s="256"/>
      <c r="I4" s="256"/>
      <c r="J4" s="256"/>
      <c r="K4" s="256"/>
      <c r="L4" s="372" t="s">
        <v>140</v>
      </c>
      <c r="M4" s="443" t="s">
        <v>30</v>
      </c>
      <c r="N4" s="444"/>
      <c r="O4" s="444"/>
      <c r="P4" s="444"/>
      <c r="Q4" s="444"/>
      <c r="R4" s="445"/>
      <c r="S4" s="264"/>
    </row>
    <row r="5" spans="1:21" x14ac:dyDescent="0.2">
      <c r="A5" s="266" t="s">
        <v>3</v>
      </c>
      <c r="B5" s="260" t="s">
        <v>51</v>
      </c>
      <c r="C5" s="260" t="s">
        <v>6</v>
      </c>
      <c r="D5" s="262" t="s">
        <v>1</v>
      </c>
      <c r="E5" s="260" t="s">
        <v>12</v>
      </c>
      <c r="F5" s="261" t="s">
        <v>2</v>
      </c>
      <c r="G5" s="260" t="s">
        <v>13</v>
      </c>
      <c r="H5" s="262" t="s">
        <v>2</v>
      </c>
      <c r="I5" s="262" t="s">
        <v>16</v>
      </c>
      <c r="J5" s="262" t="s">
        <v>4</v>
      </c>
      <c r="K5" s="262" t="s">
        <v>15</v>
      </c>
      <c r="L5" s="267" t="s">
        <v>5</v>
      </c>
      <c r="M5" s="399">
        <v>44627</v>
      </c>
      <c r="N5" s="400">
        <v>44841</v>
      </c>
      <c r="O5" s="4" t="s">
        <v>164</v>
      </c>
      <c r="P5" s="4"/>
      <c r="Q5" s="4"/>
      <c r="R5" s="401" t="s">
        <v>10</v>
      </c>
    </row>
    <row r="6" spans="1:21" ht="43.15" customHeight="1" x14ac:dyDescent="0.2">
      <c r="A6" s="268">
        <v>1</v>
      </c>
      <c r="B6" s="89" t="s">
        <v>163</v>
      </c>
      <c r="C6" s="76" t="s">
        <v>52</v>
      </c>
      <c r="D6" s="270">
        <v>630</v>
      </c>
      <c r="F6" s="2">
        <f>D6*E6</f>
        <v>0</v>
      </c>
      <c r="H6" s="44">
        <f>G6/8*D6</f>
        <v>0</v>
      </c>
      <c r="I6" s="44">
        <f>F6+H6</f>
        <v>0</v>
      </c>
      <c r="K6" s="378">
        <f>I6-J6</f>
        <v>0</v>
      </c>
      <c r="L6" s="382"/>
      <c r="M6" s="383"/>
      <c r="N6" s="384"/>
      <c r="O6" s="381"/>
      <c r="P6" s="380"/>
      <c r="Q6" s="381"/>
      <c r="R6" s="402">
        <f>M6+N6+O6+P6+Q6</f>
        <v>0</v>
      </c>
      <c r="T6" s="377"/>
      <c r="U6" s="1" t="s">
        <v>138</v>
      </c>
    </row>
    <row r="7" spans="1:21" ht="43.15" customHeight="1" x14ac:dyDescent="0.2">
      <c r="A7" s="268">
        <v>2</v>
      </c>
      <c r="B7" s="89" t="s">
        <v>165</v>
      </c>
      <c r="C7" s="76" t="s">
        <v>52</v>
      </c>
      <c r="D7" s="274">
        <v>580</v>
      </c>
      <c r="F7" s="2">
        <f t="shared" ref="F7:F13" si="0">D7*E7</f>
        <v>0</v>
      </c>
      <c r="H7" s="44">
        <f>G7/8*D7</f>
        <v>0</v>
      </c>
      <c r="I7" s="44">
        <f t="shared" ref="I7:I13" si="1">F7+H7</f>
        <v>0</v>
      </c>
      <c r="K7" s="376">
        <f t="shared" ref="K7:K13" si="2">I7-J7</f>
        <v>0</v>
      </c>
      <c r="L7" s="382"/>
      <c r="M7" s="383"/>
      <c r="N7" s="402"/>
      <c r="O7" s="379"/>
      <c r="P7" s="379"/>
      <c r="Q7" s="379"/>
      <c r="R7" s="402">
        <f t="shared" ref="R7:R8" si="3">M7+N7+O7+P7+Q7</f>
        <v>0</v>
      </c>
      <c r="T7" s="377"/>
    </row>
    <row r="8" spans="1:21" ht="43.15" customHeight="1" x14ac:dyDescent="0.2">
      <c r="A8" s="268">
        <v>3</v>
      </c>
      <c r="B8" s="89" t="s">
        <v>166</v>
      </c>
      <c r="C8" s="90" t="s">
        <v>83</v>
      </c>
      <c r="D8" s="270">
        <v>400</v>
      </c>
      <c r="F8" s="2">
        <f t="shared" si="0"/>
        <v>0</v>
      </c>
      <c r="H8" s="44">
        <f t="shared" ref="H8:H13" si="4">G8/8*D8</f>
        <v>0</v>
      </c>
      <c r="I8" s="370">
        <f t="shared" si="1"/>
        <v>0</v>
      </c>
      <c r="K8" s="387">
        <f t="shared" si="2"/>
        <v>0</v>
      </c>
      <c r="L8" s="382"/>
      <c r="M8" s="374"/>
      <c r="N8" s="89"/>
      <c r="P8" s="89"/>
      <c r="R8" s="402">
        <f t="shared" si="3"/>
        <v>0</v>
      </c>
    </row>
    <row r="9" spans="1:21" ht="43.15" customHeight="1" x14ac:dyDescent="0.2">
      <c r="A9" s="268">
        <v>4</v>
      </c>
      <c r="B9" s="89" t="s">
        <v>170</v>
      </c>
      <c r="C9" s="90" t="s">
        <v>83</v>
      </c>
      <c r="D9" s="270">
        <v>500</v>
      </c>
      <c r="F9" s="2">
        <f t="shared" si="0"/>
        <v>0</v>
      </c>
      <c r="H9" s="44">
        <f t="shared" si="4"/>
        <v>0</v>
      </c>
      <c r="I9" s="370">
        <f t="shared" si="1"/>
        <v>0</v>
      </c>
      <c r="K9" s="387">
        <f t="shared" si="2"/>
        <v>0</v>
      </c>
      <c r="L9" s="409">
        <f>K9+K11+K13</f>
        <v>0</v>
      </c>
      <c r="M9" s="374"/>
      <c r="N9" s="89"/>
      <c r="P9" s="89"/>
    </row>
    <row r="10" spans="1:21" ht="43.15" customHeight="1" x14ac:dyDescent="0.2">
      <c r="A10" s="268">
        <v>5</v>
      </c>
      <c r="B10" s="89" t="s">
        <v>171</v>
      </c>
      <c r="C10" s="90" t="s">
        <v>83</v>
      </c>
      <c r="D10" s="270">
        <v>530</v>
      </c>
      <c r="F10" s="2">
        <f t="shared" si="0"/>
        <v>0</v>
      </c>
      <c r="H10" s="44">
        <f t="shared" si="4"/>
        <v>0</v>
      </c>
      <c r="I10" s="370">
        <f t="shared" si="1"/>
        <v>0</v>
      </c>
      <c r="K10" s="387">
        <f t="shared" si="2"/>
        <v>0</v>
      </c>
      <c r="L10" s="382"/>
      <c r="M10" s="374"/>
      <c r="N10" s="89"/>
      <c r="P10" s="89"/>
    </row>
    <row r="11" spans="1:21" ht="43.15" customHeight="1" x14ac:dyDescent="0.2">
      <c r="A11" s="268">
        <v>6</v>
      </c>
      <c r="B11" s="89" t="s">
        <v>174</v>
      </c>
      <c r="C11" s="90" t="s">
        <v>83</v>
      </c>
      <c r="D11" s="270">
        <v>400</v>
      </c>
      <c r="F11" s="2">
        <f t="shared" si="0"/>
        <v>0</v>
      </c>
      <c r="H11" s="44">
        <f t="shared" si="4"/>
        <v>0</v>
      </c>
      <c r="I11" s="370">
        <f t="shared" si="1"/>
        <v>0</v>
      </c>
      <c r="K11" s="387">
        <f t="shared" si="2"/>
        <v>0</v>
      </c>
      <c r="L11" s="382"/>
      <c r="M11" s="374"/>
      <c r="N11" s="89"/>
      <c r="P11" s="89"/>
    </row>
    <row r="12" spans="1:21" ht="43.15" customHeight="1" x14ac:dyDescent="0.2">
      <c r="A12" s="268">
        <v>7</v>
      </c>
      <c r="B12" s="89" t="s">
        <v>172</v>
      </c>
      <c r="C12" s="90" t="s">
        <v>83</v>
      </c>
      <c r="D12" s="270">
        <v>400</v>
      </c>
      <c r="F12" s="2">
        <f t="shared" si="0"/>
        <v>0</v>
      </c>
      <c r="H12" s="44">
        <f t="shared" si="4"/>
        <v>0</v>
      </c>
      <c r="I12" s="370">
        <f t="shared" si="1"/>
        <v>0</v>
      </c>
      <c r="K12" s="387">
        <f t="shared" si="2"/>
        <v>0</v>
      </c>
      <c r="L12" s="382"/>
      <c r="M12" s="374"/>
      <c r="N12" s="89"/>
      <c r="P12" s="89"/>
    </row>
    <row r="13" spans="1:21" ht="43.15" customHeight="1" x14ac:dyDescent="0.2">
      <c r="A13" s="268">
        <v>8</v>
      </c>
      <c r="B13" s="89" t="s">
        <v>173</v>
      </c>
      <c r="C13" s="90" t="s">
        <v>83</v>
      </c>
      <c r="D13" s="270">
        <v>400</v>
      </c>
      <c r="F13" s="2">
        <f t="shared" si="0"/>
        <v>0</v>
      </c>
      <c r="H13" s="44">
        <f t="shared" si="4"/>
        <v>0</v>
      </c>
      <c r="I13" s="44">
        <f t="shared" si="1"/>
        <v>0</v>
      </c>
      <c r="K13" s="378">
        <f t="shared" si="2"/>
        <v>0</v>
      </c>
      <c r="L13" s="382"/>
      <c r="M13" s="374"/>
      <c r="N13" s="89"/>
      <c r="P13" s="89"/>
    </row>
    <row r="14" spans="1:21" ht="43.15" customHeight="1" x14ac:dyDescent="0.2">
      <c r="A14" s="268">
        <v>9</v>
      </c>
      <c r="B14" s="89"/>
      <c r="C14" s="90"/>
      <c r="K14" s="378"/>
      <c r="L14" s="382"/>
      <c r="M14" s="374"/>
      <c r="N14" s="89"/>
      <c r="P14" s="89"/>
    </row>
    <row r="15" spans="1:21" ht="43.15" customHeight="1" x14ac:dyDescent="0.2">
      <c r="A15" s="268">
        <v>10</v>
      </c>
      <c r="B15" s="89"/>
      <c r="C15" s="90"/>
      <c r="K15" s="378"/>
      <c r="L15" s="382"/>
      <c r="M15" s="374"/>
      <c r="N15" s="89"/>
      <c r="P15" s="89"/>
    </row>
    <row r="16" spans="1:21" ht="43.15" customHeight="1" thickBot="1" x14ac:dyDescent="0.25">
      <c r="A16" s="385">
        <v>11</v>
      </c>
      <c r="B16" s="200"/>
      <c r="C16" s="90"/>
      <c r="D16" s="386"/>
      <c r="F16" s="405"/>
      <c r="G16" s="405"/>
      <c r="H16" s="370"/>
      <c r="I16" s="370"/>
      <c r="J16" s="405"/>
      <c r="K16" s="387"/>
      <c r="L16" s="407"/>
      <c r="M16" s="374"/>
      <c r="N16" s="89"/>
      <c r="P16" s="89"/>
    </row>
    <row r="17" spans="1:15" ht="30" customHeight="1" thickBot="1" x14ac:dyDescent="0.25">
      <c r="A17" s="265"/>
      <c r="B17" s="388" t="s">
        <v>10</v>
      </c>
      <c r="C17" s="389"/>
      <c r="D17" s="390"/>
      <c r="E17" s="389"/>
      <c r="F17" s="389"/>
      <c r="G17" s="389"/>
      <c r="H17" s="391"/>
      <c r="I17" s="392">
        <f>SUM(I6:I16)</f>
        <v>0</v>
      </c>
      <c r="J17" s="408">
        <f>SUM(J6:J16)</f>
        <v>0</v>
      </c>
      <c r="K17" s="393">
        <f>K6+K7+K8+K9+K10+K11+K12+K13+K14+K16+K15</f>
        <v>0</v>
      </c>
      <c r="L17" s="404"/>
      <c r="M17" s="264"/>
      <c r="O17" s="63" t="e">
        <f>#REF!+#REF!+#REF!+#REF!+O6</f>
        <v>#REF!</v>
      </c>
    </row>
    <row r="18" spans="1:15" x14ac:dyDescent="0.2">
      <c r="A18" s="4"/>
      <c r="B18" s="4"/>
      <c r="C18" s="18"/>
      <c r="D18" s="271"/>
      <c r="E18" s="18"/>
      <c r="F18" s="18"/>
      <c r="G18" s="18"/>
      <c r="H18" s="272"/>
      <c r="I18" s="272"/>
      <c r="J18" s="18"/>
      <c r="K18" s="272"/>
      <c r="L18" s="4"/>
    </row>
    <row r="19" spans="1:15" x14ac:dyDescent="0.2">
      <c r="L19" s="63">
        <f>K17-55000</f>
        <v>-55000</v>
      </c>
    </row>
    <row r="24" spans="1:15" ht="30" customHeight="1" x14ac:dyDescent="0.2"/>
    <row r="25" spans="1:15" ht="30" customHeight="1" x14ac:dyDescent="0.2"/>
  </sheetData>
  <mergeCells count="3">
    <mergeCell ref="A1:L1"/>
    <mergeCell ref="A3:L3"/>
    <mergeCell ref="M4:R4"/>
  </mergeCells>
  <pageMargins left="0.25" right="0.12" top="0.23622047244094491" bottom="0.25" header="0.19685039370078741" footer="0.32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workbookViewId="0">
      <selection sqref="A1:L1"/>
    </sheetView>
  </sheetViews>
  <sheetFormatPr defaultColWidth="9.140625" defaultRowHeight="12.75" x14ac:dyDescent="0.2"/>
  <cols>
    <col min="1" max="1" width="5.42578125" style="1" customWidth="1"/>
    <col min="2" max="2" width="25.7109375" style="1" customWidth="1"/>
    <col min="3" max="3" width="6.140625" style="2" customWidth="1"/>
    <col min="4" max="4" width="6.140625" style="270" customWidth="1"/>
    <col min="5" max="5" width="8.7109375" style="2" customWidth="1"/>
    <col min="6" max="6" width="9.140625" style="2"/>
    <col min="7" max="7" width="7.85546875" style="2" customWidth="1"/>
    <col min="8" max="9" width="8.7109375" style="44" customWidth="1"/>
    <col min="10" max="10" width="8" style="2" customWidth="1"/>
    <col min="11" max="11" width="16.140625" style="44" customWidth="1"/>
    <col min="12" max="12" width="26.85546875" style="1" customWidth="1"/>
    <col min="13" max="19" width="9.140625" style="1"/>
    <col min="20" max="20" width="19" style="1" bestFit="1" customWidth="1"/>
    <col min="21" max="16384" width="9.140625" style="1"/>
  </cols>
  <sheetData>
    <row r="1" spans="1:21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9"/>
      <c r="M1" s="257"/>
    </row>
    <row r="2" spans="1:21" ht="20.25" x14ac:dyDescent="0.2">
      <c r="A2" s="248"/>
      <c r="B2" s="312" t="s">
        <v>11</v>
      </c>
      <c r="C2" s="249"/>
      <c r="D2" s="251"/>
      <c r="E2" s="249"/>
      <c r="F2" s="250"/>
      <c r="G2" s="249"/>
      <c r="H2" s="251"/>
      <c r="I2" s="251"/>
      <c r="J2" s="251"/>
      <c r="K2" s="55"/>
      <c r="L2" s="339" t="s">
        <v>139</v>
      </c>
      <c r="M2" s="257"/>
    </row>
    <row r="3" spans="1:21" ht="13.5" thickBot="1" x14ac:dyDescent="0.25">
      <c r="A3" s="440" t="s">
        <v>169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257"/>
      <c r="N3" s="3"/>
      <c r="O3" s="3"/>
      <c r="P3" s="3"/>
      <c r="Q3" s="3"/>
      <c r="R3" s="3"/>
    </row>
    <row r="4" spans="1:21" ht="13.5" thickBot="1" x14ac:dyDescent="0.25">
      <c r="A4" s="252"/>
      <c r="B4" s="253"/>
      <c r="C4" s="253"/>
      <c r="D4" s="256"/>
      <c r="E4" s="255"/>
      <c r="F4" s="254"/>
      <c r="G4" s="253"/>
      <c r="H4" s="256"/>
      <c r="I4" s="256"/>
      <c r="J4" s="256"/>
      <c r="K4" s="256"/>
      <c r="L4" s="372" t="s">
        <v>140</v>
      </c>
      <c r="M4" s="443" t="s">
        <v>30</v>
      </c>
      <c r="N4" s="444"/>
      <c r="O4" s="444"/>
      <c r="P4" s="444"/>
      <c r="Q4" s="444"/>
      <c r="R4" s="445"/>
      <c r="S4" s="264"/>
    </row>
    <row r="5" spans="1:21" x14ac:dyDescent="0.2">
      <c r="A5" s="266" t="s">
        <v>3</v>
      </c>
      <c r="B5" s="260" t="s">
        <v>51</v>
      </c>
      <c r="C5" s="260" t="s">
        <v>6</v>
      </c>
      <c r="D5" s="262" t="s">
        <v>1</v>
      </c>
      <c r="E5" s="260" t="s">
        <v>12</v>
      </c>
      <c r="F5" s="261" t="s">
        <v>2</v>
      </c>
      <c r="G5" s="260" t="s">
        <v>13</v>
      </c>
      <c r="H5" s="262" t="s">
        <v>2</v>
      </c>
      <c r="I5" s="262" t="s">
        <v>16</v>
      </c>
      <c r="J5" s="262" t="s">
        <v>4</v>
      </c>
      <c r="K5" s="262" t="s">
        <v>15</v>
      </c>
      <c r="L5" s="267" t="s">
        <v>5</v>
      </c>
      <c r="M5" s="399">
        <v>44627</v>
      </c>
      <c r="N5" s="400">
        <v>44841</v>
      </c>
      <c r="O5" s="4" t="s">
        <v>164</v>
      </c>
      <c r="P5" s="4"/>
      <c r="Q5" s="4"/>
      <c r="R5" s="401" t="s">
        <v>10</v>
      </c>
    </row>
    <row r="6" spans="1:21" ht="43.15" customHeight="1" x14ac:dyDescent="0.2">
      <c r="A6" s="268">
        <v>1</v>
      </c>
      <c r="B6" s="89"/>
      <c r="C6" s="76"/>
      <c r="K6" s="376"/>
      <c r="L6" s="382"/>
      <c r="M6" s="383" t="s">
        <v>167</v>
      </c>
      <c r="N6" s="384"/>
      <c r="O6" s="381"/>
      <c r="P6" s="380" t="s">
        <v>168</v>
      </c>
      <c r="Q6" s="381"/>
      <c r="R6" s="402" t="e">
        <f>M6+N6+O6+P6+Q6</f>
        <v>#VALUE!</v>
      </c>
      <c r="S6" s="1">
        <v>215</v>
      </c>
      <c r="T6" s="377"/>
      <c r="U6" s="1" t="s">
        <v>138</v>
      </c>
    </row>
    <row r="7" spans="1:21" ht="43.15" customHeight="1" x14ac:dyDescent="0.2">
      <c r="A7" s="268">
        <v>2</v>
      </c>
      <c r="B7" s="89"/>
      <c r="C7" s="76"/>
      <c r="D7" s="274"/>
      <c r="J7" s="44"/>
      <c r="K7" s="376"/>
      <c r="L7" s="382"/>
      <c r="M7" s="383">
        <v>20000</v>
      </c>
      <c r="N7" s="402"/>
      <c r="O7" s="379">
        <v>5000</v>
      </c>
      <c r="P7" s="379"/>
      <c r="Q7" s="379"/>
      <c r="R7" s="402">
        <f t="shared" ref="R7:R9" si="0">M7+N7+O7+P7+Q7</f>
        <v>25000</v>
      </c>
      <c r="S7" s="1">
        <v>7500</v>
      </c>
      <c r="T7" s="377"/>
    </row>
    <row r="8" spans="1:21" ht="43.15" customHeight="1" x14ac:dyDescent="0.2">
      <c r="A8" s="268">
        <v>3</v>
      </c>
      <c r="B8" s="200"/>
      <c r="C8" s="90"/>
      <c r="D8" s="403"/>
      <c r="E8" s="405"/>
      <c r="G8" s="405"/>
      <c r="K8" s="376"/>
      <c r="L8" s="269"/>
      <c r="M8" s="383"/>
      <c r="N8" s="402"/>
      <c r="O8" s="379"/>
      <c r="P8" s="379"/>
      <c r="Q8" s="379"/>
      <c r="R8" s="402"/>
      <c r="T8" s="377"/>
    </row>
    <row r="9" spans="1:21" ht="43.15" customHeight="1" x14ac:dyDescent="0.2">
      <c r="A9" s="268">
        <v>4</v>
      </c>
      <c r="B9" s="200"/>
      <c r="C9" s="90"/>
      <c r="D9" s="386"/>
      <c r="E9" s="405"/>
      <c r="F9" s="405"/>
      <c r="G9" s="405"/>
      <c r="H9" s="370"/>
      <c r="I9" s="370"/>
      <c r="K9" s="387"/>
      <c r="L9" s="382"/>
      <c r="M9" s="374"/>
      <c r="N9" s="89"/>
      <c r="P9" s="89"/>
      <c r="R9" s="402">
        <f t="shared" si="0"/>
        <v>0</v>
      </c>
      <c r="S9" s="1">
        <v>4000</v>
      </c>
    </row>
    <row r="10" spans="1:21" ht="43.15" customHeight="1" x14ac:dyDescent="0.2">
      <c r="A10" s="268">
        <v>5</v>
      </c>
      <c r="B10" s="89"/>
      <c r="C10" s="76"/>
      <c r="I10" s="370"/>
      <c r="K10" s="387"/>
      <c r="L10" s="382"/>
      <c r="M10" s="374"/>
      <c r="N10" s="89"/>
      <c r="P10" s="89"/>
    </row>
    <row r="11" spans="1:21" ht="43.15" customHeight="1" x14ac:dyDescent="0.2">
      <c r="A11" s="268">
        <v>6</v>
      </c>
      <c r="B11" s="89"/>
      <c r="C11" s="76"/>
      <c r="I11" s="370"/>
      <c r="K11" s="387"/>
      <c r="L11" s="382"/>
      <c r="M11" s="374"/>
      <c r="N11" s="89"/>
      <c r="P11" s="89"/>
    </row>
    <row r="12" spans="1:21" ht="43.15" customHeight="1" x14ac:dyDescent="0.2">
      <c r="A12" s="268">
        <v>7</v>
      </c>
      <c r="B12" s="89"/>
      <c r="C12" s="76"/>
      <c r="I12" s="370"/>
      <c r="K12" s="387"/>
      <c r="L12" s="382"/>
      <c r="M12" s="374"/>
      <c r="N12" s="89"/>
      <c r="P12" s="89"/>
    </row>
    <row r="13" spans="1:21" ht="43.15" customHeight="1" x14ac:dyDescent="0.2">
      <c r="A13" s="268">
        <v>8</v>
      </c>
      <c r="B13" s="89"/>
      <c r="C13" s="76"/>
      <c r="I13" s="370"/>
      <c r="K13" s="387"/>
      <c r="L13" s="382"/>
      <c r="M13" s="374"/>
      <c r="N13" s="89"/>
      <c r="P13" s="89"/>
      <c r="S13" s="1">
        <v>11</v>
      </c>
    </row>
    <row r="14" spans="1:21" ht="43.15" customHeight="1" x14ac:dyDescent="0.2">
      <c r="A14" s="268">
        <v>9</v>
      </c>
      <c r="B14" s="89"/>
      <c r="C14" s="76"/>
      <c r="K14" s="378"/>
      <c r="L14" s="382"/>
      <c r="M14" s="374"/>
      <c r="N14" s="89"/>
      <c r="P14" s="89"/>
    </row>
    <row r="15" spans="1:21" ht="43.15" customHeight="1" x14ac:dyDescent="0.2">
      <c r="A15" s="268">
        <v>10</v>
      </c>
      <c r="B15" s="89"/>
      <c r="C15" s="76"/>
      <c r="K15" s="378"/>
      <c r="L15" s="382"/>
      <c r="M15" s="374"/>
      <c r="N15" s="89"/>
      <c r="P15" s="89"/>
    </row>
    <row r="16" spans="1:21" ht="43.15" customHeight="1" thickBot="1" x14ac:dyDescent="0.25">
      <c r="A16" s="268">
        <v>11</v>
      </c>
      <c r="B16" s="89"/>
      <c r="C16" s="76"/>
      <c r="K16" s="378"/>
      <c r="L16" s="382"/>
      <c r="M16" s="374"/>
      <c r="N16" s="89"/>
      <c r="P16" s="89"/>
    </row>
    <row r="17" spans="1:15" ht="30" customHeight="1" thickBot="1" x14ac:dyDescent="0.25">
      <c r="A17" s="265"/>
      <c r="B17" s="388" t="s">
        <v>10</v>
      </c>
      <c r="C17" s="389"/>
      <c r="D17" s="390"/>
      <c r="E17" s="389"/>
      <c r="F17" s="389"/>
      <c r="G17" s="389"/>
      <c r="H17" s="391"/>
      <c r="I17" s="392"/>
      <c r="J17" s="388"/>
      <c r="K17" s="393"/>
      <c r="L17" s="394"/>
      <c r="M17" s="264"/>
      <c r="O17" s="63" t="e">
        <f>#REF!+#REF!+#REF!+#REF!+O6</f>
        <v>#REF!</v>
      </c>
    </row>
    <row r="18" spans="1:15" x14ac:dyDescent="0.2">
      <c r="A18" s="4"/>
      <c r="B18" s="4"/>
      <c r="C18" s="18"/>
      <c r="D18" s="271"/>
      <c r="E18" s="18"/>
      <c r="F18" s="18"/>
      <c r="G18" s="18"/>
      <c r="H18" s="272"/>
      <c r="I18" s="272"/>
      <c r="J18" s="18"/>
      <c r="K18" s="272"/>
      <c r="L18" s="4"/>
    </row>
    <row r="24" spans="1:15" ht="30" customHeight="1" x14ac:dyDescent="0.2"/>
    <row r="25" spans="1:15" ht="30" customHeight="1" x14ac:dyDescent="0.2"/>
  </sheetData>
  <mergeCells count="3">
    <mergeCell ref="A1:L1"/>
    <mergeCell ref="A3:L3"/>
    <mergeCell ref="M4:R4"/>
  </mergeCells>
  <pageMargins left="0.25" right="0.12" top="0.23622047244094491" bottom="0.2" header="0.19685039370078741" footer="0.3937007874015748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workbookViewId="0">
      <selection sqref="A1:O1"/>
    </sheetView>
  </sheetViews>
  <sheetFormatPr defaultColWidth="9.140625" defaultRowHeight="12.75" x14ac:dyDescent="0.2"/>
  <cols>
    <col min="1" max="1" width="5.42578125" style="1" customWidth="1"/>
    <col min="2" max="2" width="17.7109375" style="1" customWidth="1"/>
    <col min="3" max="3" width="6.140625" style="2" customWidth="1"/>
    <col min="4" max="7" width="6.140625" style="270" customWidth="1"/>
    <col min="8" max="8" width="8.7109375" style="2" customWidth="1"/>
    <col min="9" max="9" width="9.140625" style="2"/>
    <col min="10" max="10" width="9.85546875" style="2" customWidth="1"/>
    <col min="11" max="12" width="8.7109375" style="44" customWidth="1"/>
    <col min="13" max="13" width="8" style="2" customWidth="1"/>
    <col min="14" max="14" width="11.28515625" style="44" customWidth="1"/>
    <col min="15" max="15" width="11.85546875" style="1" customWidth="1"/>
    <col min="16" max="16" width="9.140625" style="361"/>
    <col min="17" max="16384" width="9.140625" style="1"/>
  </cols>
  <sheetData>
    <row r="1" spans="1:17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8"/>
      <c r="M1" s="438"/>
      <c r="N1" s="438"/>
      <c r="O1" s="439"/>
      <c r="P1" s="357"/>
    </row>
    <row r="2" spans="1:17" ht="20.25" x14ac:dyDescent="0.2">
      <c r="A2" s="248"/>
      <c r="B2" s="312" t="s">
        <v>11</v>
      </c>
      <c r="C2" s="249"/>
      <c r="D2" s="251"/>
      <c r="E2" s="251"/>
      <c r="F2" s="251"/>
      <c r="G2" s="251"/>
      <c r="H2" s="249"/>
      <c r="I2" s="250"/>
      <c r="J2" s="249"/>
      <c r="K2" s="251"/>
      <c r="L2" s="251"/>
      <c r="M2" s="251"/>
      <c r="N2" s="55"/>
      <c r="O2" s="320" t="s">
        <v>61</v>
      </c>
      <c r="P2" s="357"/>
    </row>
    <row r="3" spans="1:17" ht="15.75" x14ac:dyDescent="0.2">
      <c r="A3" s="446" t="s">
        <v>102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8"/>
      <c r="P3" s="357"/>
    </row>
    <row r="4" spans="1:17" ht="13.5" thickBot="1" x14ac:dyDescent="0.25">
      <c r="A4" s="252"/>
      <c r="B4" s="253"/>
      <c r="C4" s="253"/>
      <c r="D4" s="256"/>
      <c r="E4" s="256"/>
      <c r="F4" s="256"/>
      <c r="G4" s="256"/>
      <c r="H4" s="255"/>
      <c r="I4" s="254"/>
      <c r="J4" s="253"/>
      <c r="K4" s="256"/>
      <c r="L4" s="256"/>
      <c r="M4" s="256"/>
      <c r="N4" s="256"/>
      <c r="O4" s="258" t="s">
        <v>62</v>
      </c>
      <c r="P4" s="358"/>
    </row>
    <row r="5" spans="1:17" x14ac:dyDescent="0.2">
      <c r="A5" s="266" t="s">
        <v>3</v>
      </c>
      <c r="B5" s="260" t="s">
        <v>51</v>
      </c>
      <c r="C5" s="260" t="s">
        <v>6</v>
      </c>
      <c r="D5" s="262" t="s">
        <v>1</v>
      </c>
      <c r="E5" s="262" t="s">
        <v>23</v>
      </c>
      <c r="F5" s="262" t="s">
        <v>24</v>
      </c>
      <c r="G5" s="262" t="s">
        <v>121</v>
      </c>
      <c r="H5" s="260" t="s">
        <v>26</v>
      </c>
      <c r="I5" s="261" t="s">
        <v>103</v>
      </c>
      <c r="J5" s="260" t="s">
        <v>107</v>
      </c>
      <c r="K5" s="262" t="s">
        <v>108</v>
      </c>
      <c r="L5" s="262" t="s">
        <v>109</v>
      </c>
      <c r="M5" s="262" t="s">
        <v>110</v>
      </c>
      <c r="N5" s="262" t="s">
        <v>10</v>
      </c>
      <c r="O5" s="267" t="s">
        <v>101</v>
      </c>
      <c r="P5" s="358" t="s">
        <v>22</v>
      </c>
    </row>
    <row r="6" spans="1:17" s="2" customFormat="1" ht="19.5" customHeight="1" x14ac:dyDescent="0.2">
      <c r="A6" s="348">
        <v>1</v>
      </c>
      <c r="B6" s="76" t="s">
        <v>111</v>
      </c>
      <c r="C6" s="76" t="s">
        <v>117</v>
      </c>
      <c r="D6" s="270">
        <v>20000</v>
      </c>
      <c r="E6" s="270">
        <f t="shared" ref="E6:J7" si="0">D6</f>
        <v>20000</v>
      </c>
      <c r="F6" s="270">
        <f t="shared" si="0"/>
        <v>20000</v>
      </c>
      <c r="G6" s="270">
        <f t="shared" si="0"/>
        <v>20000</v>
      </c>
      <c r="H6" s="270">
        <f t="shared" si="0"/>
        <v>20000</v>
      </c>
      <c r="I6" s="270">
        <f t="shared" si="0"/>
        <v>20000</v>
      </c>
      <c r="J6" s="270">
        <f t="shared" si="0"/>
        <v>20000</v>
      </c>
      <c r="K6" s="44"/>
      <c r="L6" s="44"/>
      <c r="N6" s="44">
        <f>E6+F6+G6+H6+I6+J6+K6+L6+M6</f>
        <v>120000</v>
      </c>
      <c r="O6" s="356">
        <f>35000</f>
        <v>35000</v>
      </c>
      <c r="P6" s="359">
        <f>N6-O6</f>
        <v>85000</v>
      </c>
      <c r="Q6" s="2">
        <v>10000</v>
      </c>
    </row>
    <row r="7" spans="1:17" s="2" customFormat="1" ht="19.5" customHeight="1" x14ac:dyDescent="0.2">
      <c r="A7" s="348">
        <v>2</v>
      </c>
      <c r="B7" s="76" t="s">
        <v>112</v>
      </c>
      <c r="C7" s="76" t="s">
        <v>117</v>
      </c>
      <c r="D7" s="86">
        <v>8000</v>
      </c>
      <c r="E7" s="270">
        <f t="shared" si="0"/>
        <v>8000</v>
      </c>
      <c r="F7" s="270">
        <f t="shared" si="0"/>
        <v>8000</v>
      </c>
      <c r="G7" s="270">
        <f t="shared" si="0"/>
        <v>8000</v>
      </c>
      <c r="H7" s="270">
        <f t="shared" si="0"/>
        <v>8000</v>
      </c>
      <c r="I7" s="270">
        <f t="shared" si="0"/>
        <v>8000</v>
      </c>
      <c r="J7" s="270">
        <f t="shared" si="0"/>
        <v>8000</v>
      </c>
      <c r="K7" s="54"/>
      <c r="L7" s="54"/>
      <c r="M7" s="86"/>
      <c r="N7" s="44">
        <f t="shared" ref="N7:N24" si="1">E7+F7+G7+H7+I7+J7+K7+L7+M7</f>
        <v>48000</v>
      </c>
      <c r="O7" s="356">
        <v>26000</v>
      </c>
      <c r="P7" s="359">
        <f t="shared" ref="P7:P26" si="2">N7-O7</f>
        <v>22000</v>
      </c>
      <c r="Q7" s="2">
        <v>10000</v>
      </c>
    </row>
    <row r="8" spans="1:17" s="2" customFormat="1" ht="19.5" customHeight="1" x14ac:dyDescent="0.2">
      <c r="A8" s="348">
        <v>3</v>
      </c>
      <c r="B8" s="349" t="s">
        <v>113</v>
      </c>
      <c r="C8" s="76" t="s">
        <v>6</v>
      </c>
      <c r="D8" s="86">
        <v>8000</v>
      </c>
      <c r="E8" s="270">
        <f t="shared" ref="E8:J11" si="3">D8</f>
        <v>8000</v>
      </c>
      <c r="F8" s="270">
        <f t="shared" si="3"/>
        <v>8000</v>
      </c>
      <c r="G8" s="270">
        <f t="shared" si="3"/>
        <v>8000</v>
      </c>
      <c r="H8" s="270">
        <f t="shared" si="3"/>
        <v>8000</v>
      </c>
      <c r="I8" s="270">
        <f t="shared" si="3"/>
        <v>8000</v>
      </c>
      <c r="J8" s="270">
        <f t="shared" si="3"/>
        <v>8000</v>
      </c>
      <c r="K8" s="54"/>
      <c r="L8" s="86"/>
      <c r="M8" s="86"/>
      <c r="N8" s="44">
        <f t="shared" si="1"/>
        <v>48000</v>
      </c>
      <c r="O8" s="356">
        <v>39000</v>
      </c>
      <c r="P8" s="359">
        <f t="shared" si="2"/>
        <v>9000</v>
      </c>
      <c r="Q8" s="2">
        <v>10000</v>
      </c>
    </row>
    <row r="9" spans="1:17" s="2" customFormat="1" ht="19.5" customHeight="1" x14ac:dyDescent="0.2">
      <c r="A9" s="348">
        <v>4</v>
      </c>
      <c r="B9" s="349" t="s">
        <v>114</v>
      </c>
      <c r="C9" s="76" t="s">
        <v>118</v>
      </c>
      <c r="D9" s="86">
        <v>7000</v>
      </c>
      <c r="E9" s="270">
        <f t="shared" si="3"/>
        <v>7000</v>
      </c>
      <c r="F9" s="270">
        <f t="shared" si="3"/>
        <v>7000</v>
      </c>
      <c r="G9" s="270">
        <f t="shared" si="3"/>
        <v>7000</v>
      </c>
      <c r="H9" s="270">
        <f t="shared" si="3"/>
        <v>7000</v>
      </c>
      <c r="I9" s="270">
        <f t="shared" si="3"/>
        <v>7000</v>
      </c>
      <c r="J9" s="270">
        <f t="shared" si="3"/>
        <v>7000</v>
      </c>
      <c r="K9" s="54"/>
      <c r="L9" s="86"/>
      <c r="M9" s="86"/>
      <c r="N9" s="44">
        <f t="shared" si="1"/>
        <v>42000</v>
      </c>
      <c r="O9" s="356">
        <v>25000</v>
      </c>
      <c r="P9" s="359">
        <f t="shared" si="2"/>
        <v>17000</v>
      </c>
      <c r="Q9" s="2">
        <v>10000</v>
      </c>
    </row>
    <row r="10" spans="1:17" s="2" customFormat="1" ht="19.5" customHeight="1" x14ac:dyDescent="0.2">
      <c r="A10" s="348">
        <v>5</v>
      </c>
      <c r="B10" s="76" t="s">
        <v>115</v>
      </c>
      <c r="C10" s="76" t="s">
        <v>119</v>
      </c>
      <c r="D10" s="86">
        <v>10000</v>
      </c>
      <c r="E10" s="270">
        <f t="shared" si="3"/>
        <v>10000</v>
      </c>
      <c r="F10" s="270">
        <f t="shared" si="3"/>
        <v>10000</v>
      </c>
      <c r="G10" s="270">
        <f t="shared" si="3"/>
        <v>10000</v>
      </c>
      <c r="H10" s="270">
        <f t="shared" si="3"/>
        <v>10000</v>
      </c>
      <c r="I10" s="270">
        <f t="shared" si="3"/>
        <v>10000</v>
      </c>
      <c r="J10" s="270">
        <f t="shared" si="3"/>
        <v>10000</v>
      </c>
      <c r="K10" s="54"/>
      <c r="L10" s="54"/>
      <c r="M10" s="86"/>
      <c r="N10" s="44">
        <f t="shared" si="1"/>
        <v>60000</v>
      </c>
      <c r="O10" s="356">
        <v>30000</v>
      </c>
      <c r="P10" s="359">
        <f t="shared" si="2"/>
        <v>30000</v>
      </c>
      <c r="Q10" s="2">
        <v>10000</v>
      </c>
    </row>
    <row r="11" spans="1:17" s="2" customFormat="1" ht="19.5" customHeight="1" x14ac:dyDescent="0.2">
      <c r="A11" s="348">
        <v>6</v>
      </c>
      <c r="B11" s="76" t="s">
        <v>116</v>
      </c>
      <c r="C11" s="76" t="s">
        <v>120</v>
      </c>
      <c r="D11" s="86">
        <v>8000</v>
      </c>
      <c r="E11" s="270">
        <f t="shared" si="3"/>
        <v>8000</v>
      </c>
      <c r="F11" s="270">
        <f t="shared" si="3"/>
        <v>8000</v>
      </c>
      <c r="G11" s="270">
        <f t="shared" si="3"/>
        <v>8000</v>
      </c>
      <c r="H11" s="270">
        <f t="shared" si="3"/>
        <v>8000</v>
      </c>
      <c r="I11" s="270">
        <f t="shared" si="3"/>
        <v>8000</v>
      </c>
      <c r="J11" s="270">
        <f t="shared" si="3"/>
        <v>8000</v>
      </c>
      <c r="K11" s="54"/>
      <c r="L11" s="54"/>
      <c r="M11" s="86"/>
      <c r="N11" s="44">
        <f t="shared" si="1"/>
        <v>48000</v>
      </c>
      <c r="O11" s="356">
        <v>25000</v>
      </c>
      <c r="P11" s="359">
        <f t="shared" si="2"/>
        <v>23000</v>
      </c>
      <c r="Q11" s="2">
        <v>10000</v>
      </c>
    </row>
    <row r="12" spans="1:17" s="2" customFormat="1" ht="19.5" customHeight="1" x14ac:dyDescent="0.2">
      <c r="A12" s="348">
        <v>7</v>
      </c>
      <c r="B12" s="76"/>
      <c r="C12" s="76"/>
      <c r="D12" s="86"/>
      <c r="E12" s="86"/>
      <c r="F12" s="86"/>
      <c r="G12" s="86"/>
      <c r="H12" s="54"/>
      <c r="I12" s="350"/>
      <c r="J12" s="76"/>
      <c r="K12" s="54"/>
      <c r="L12" s="54"/>
      <c r="M12" s="86"/>
      <c r="N12" s="44">
        <f t="shared" si="1"/>
        <v>0</v>
      </c>
      <c r="O12" s="356"/>
      <c r="P12" s="359">
        <f t="shared" si="2"/>
        <v>0</v>
      </c>
    </row>
    <row r="13" spans="1:17" s="2" customFormat="1" ht="19.5" customHeight="1" x14ac:dyDescent="0.2">
      <c r="A13" s="348">
        <v>8</v>
      </c>
      <c r="B13" s="76"/>
      <c r="C13" s="76"/>
      <c r="D13" s="86"/>
      <c r="E13" s="86"/>
      <c r="F13" s="86"/>
      <c r="G13" s="86"/>
      <c r="H13" s="54"/>
      <c r="I13" s="350"/>
      <c r="J13" s="76"/>
      <c r="K13" s="54"/>
      <c r="L13" s="54"/>
      <c r="M13" s="86"/>
      <c r="N13" s="44">
        <f t="shared" si="1"/>
        <v>0</v>
      </c>
      <c r="O13" s="356"/>
      <c r="P13" s="359">
        <f t="shared" si="2"/>
        <v>0</v>
      </c>
    </row>
    <row r="14" spans="1:17" s="2" customFormat="1" ht="19.5" customHeight="1" x14ac:dyDescent="0.2">
      <c r="A14" s="348">
        <v>9</v>
      </c>
      <c r="B14" s="76"/>
      <c r="C14" s="76"/>
      <c r="D14" s="86"/>
      <c r="E14" s="86"/>
      <c r="F14" s="86"/>
      <c r="G14" s="86"/>
      <c r="H14" s="54"/>
      <c r="I14" s="350"/>
      <c r="J14" s="76"/>
      <c r="K14" s="54"/>
      <c r="L14" s="54"/>
      <c r="M14" s="86"/>
      <c r="N14" s="44">
        <f t="shared" si="1"/>
        <v>0</v>
      </c>
      <c r="O14" s="356"/>
      <c r="P14" s="359">
        <f t="shared" si="2"/>
        <v>0</v>
      </c>
    </row>
    <row r="15" spans="1:17" s="2" customFormat="1" ht="19.5" customHeight="1" thickBot="1" x14ac:dyDescent="0.25">
      <c r="A15" s="348">
        <v>10</v>
      </c>
      <c r="B15" s="90"/>
      <c r="C15" s="90"/>
      <c r="D15" s="199"/>
      <c r="E15" s="199"/>
      <c r="F15" s="199"/>
      <c r="G15" s="199"/>
      <c r="H15" s="307"/>
      <c r="I15" s="350"/>
      <c r="J15" s="90"/>
      <c r="K15" s="307"/>
      <c r="L15" s="307"/>
      <c r="M15" s="199"/>
      <c r="N15" s="44">
        <f t="shared" si="1"/>
        <v>0</v>
      </c>
      <c r="O15" s="356"/>
      <c r="P15" s="359">
        <f t="shared" si="2"/>
        <v>0</v>
      </c>
    </row>
    <row r="16" spans="1:17" s="2" customFormat="1" ht="19.5" customHeight="1" thickBot="1" x14ac:dyDescent="0.25">
      <c r="A16" s="351"/>
      <c r="B16" s="76"/>
      <c r="C16" s="90"/>
      <c r="D16" s="86"/>
      <c r="E16" s="86"/>
      <c r="F16" s="86"/>
      <c r="G16" s="86"/>
      <c r="H16" s="54"/>
      <c r="I16" s="355"/>
      <c r="J16" s="76"/>
      <c r="K16" s="54"/>
      <c r="L16" s="54"/>
      <c r="M16" s="86"/>
      <c r="N16" s="44">
        <f t="shared" si="1"/>
        <v>0</v>
      </c>
      <c r="O16" s="356"/>
      <c r="P16" s="359">
        <f t="shared" si="2"/>
        <v>0</v>
      </c>
    </row>
    <row r="17" spans="1:16" s="2" customFormat="1" ht="19.5" customHeight="1" x14ac:dyDescent="0.2">
      <c r="A17" s="18"/>
      <c r="B17" s="76"/>
      <c r="C17" s="90"/>
      <c r="D17" s="86"/>
      <c r="E17" s="86"/>
      <c r="F17" s="86"/>
      <c r="G17" s="86"/>
      <c r="H17" s="54"/>
      <c r="I17" s="18"/>
      <c r="J17" s="76"/>
      <c r="K17" s="54"/>
      <c r="L17" s="54"/>
      <c r="M17" s="86"/>
      <c r="N17" s="44">
        <f t="shared" si="1"/>
        <v>0</v>
      </c>
      <c r="O17" s="356"/>
      <c r="P17" s="359">
        <f t="shared" si="2"/>
        <v>0</v>
      </c>
    </row>
    <row r="18" spans="1:16" s="2" customFormat="1" ht="19.5" customHeight="1" x14ac:dyDescent="0.2">
      <c r="B18" s="347"/>
      <c r="C18" s="90"/>
      <c r="D18" s="352"/>
      <c r="E18" s="352"/>
      <c r="F18" s="352"/>
      <c r="G18" s="352"/>
      <c r="H18" s="54"/>
      <c r="J18" s="347"/>
      <c r="K18" s="54"/>
      <c r="L18" s="54"/>
      <c r="M18" s="352"/>
      <c r="N18" s="44">
        <f t="shared" si="1"/>
        <v>0</v>
      </c>
      <c r="O18" s="356"/>
      <c r="P18" s="359">
        <f t="shared" si="2"/>
        <v>0</v>
      </c>
    </row>
    <row r="19" spans="1:16" s="2" customFormat="1" ht="19.5" customHeight="1" x14ac:dyDescent="0.2">
      <c r="B19" s="347"/>
      <c r="C19" s="90"/>
      <c r="D19" s="352"/>
      <c r="E19" s="352"/>
      <c r="F19" s="352"/>
      <c r="G19" s="352"/>
      <c r="H19" s="54"/>
      <c r="J19" s="347"/>
      <c r="K19" s="54"/>
      <c r="L19" s="54"/>
      <c r="M19" s="352"/>
      <c r="N19" s="44">
        <f t="shared" si="1"/>
        <v>0</v>
      </c>
      <c r="O19" s="356"/>
      <c r="P19" s="359">
        <f t="shared" si="2"/>
        <v>0</v>
      </c>
    </row>
    <row r="20" spans="1:16" s="2" customFormat="1" ht="19.5" customHeight="1" x14ac:dyDescent="0.2">
      <c r="B20" s="118"/>
      <c r="C20" s="118"/>
      <c r="D20" s="119"/>
      <c r="E20" s="119"/>
      <c r="F20" s="119"/>
      <c r="G20" s="119"/>
      <c r="H20" s="314"/>
      <c r="J20" s="118"/>
      <c r="K20" s="314"/>
      <c r="L20" s="314"/>
      <c r="M20" s="119"/>
      <c r="N20" s="44">
        <f t="shared" si="1"/>
        <v>0</v>
      </c>
      <c r="O20" s="356"/>
      <c r="P20" s="359">
        <f t="shared" si="2"/>
        <v>0</v>
      </c>
    </row>
    <row r="21" spans="1:16" s="2" customFormat="1" ht="19.5" customHeight="1" x14ac:dyDescent="0.2">
      <c r="B21" s="118"/>
      <c r="C21" s="118"/>
      <c r="D21" s="119"/>
      <c r="E21" s="119"/>
      <c r="F21" s="119"/>
      <c r="G21" s="119"/>
      <c r="H21" s="314"/>
      <c r="J21" s="118"/>
      <c r="K21" s="314"/>
      <c r="L21" s="314"/>
      <c r="M21" s="119"/>
      <c r="N21" s="44">
        <f t="shared" si="1"/>
        <v>0</v>
      </c>
      <c r="O21" s="356"/>
      <c r="P21" s="359">
        <f t="shared" si="2"/>
        <v>0</v>
      </c>
    </row>
    <row r="22" spans="1:16" s="2" customFormat="1" ht="19.5" customHeight="1" x14ac:dyDescent="0.2">
      <c r="B22" s="118"/>
      <c r="C22" s="118"/>
      <c r="D22" s="119"/>
      <c r="E22" s="119"/>
      <c r="F22" s="119"/>
      <c r="G22" s="119"/>
      <c r="H22" s="314"/>
      <c r="J22" s="118"/>
      <c r="K22" s="314"/>
      <c r="L22" s="314"/>
      <c r="M22" s="119"/>
      <c r="N22" s="44">
        <f t="shared" si="1"/>
        <v>0</v>
      </c>
      <c r="O22" s="356"/>
      <c r="P22" s="359">
        <f t="shared" si="2"/>
        <v>0</v>
      </c>
    </row>
    <row r="23" spans="1:16" s="2" customFormat="1" ht="19.5" customHeight="1" x14ac:dyDescent="0.2">
      <c r="B23" s="118"/>
      <c r="C23" s="118"/>
      <c r="D23" s="119"/>
      <c r="E23" s="119"/>
      <c r="F23" s="119"/>
      <c r="G23" s="119"/>
      <c r="H23" s="314"/>
      <c r="J23" s="118"/>
      <c r="K23" s="314"/>
      <c r="L23" s="314"/>
      <c r="M23" s="119"/>
      <c r="N23" s="44">
        <f t="shared" si="1"/>
        <v>0</v>
      </c>
      <c r="O23" s="356"/>
      <c r="P23" s="359">
        <f t="shared" si="2"/>
        <v>0</v>
      </c>
    </row>
    <row r="24" spans="1:16" s="2" customFormat="1" ht="19.5" customHeight="1" thickBot="1" x14ac:dyDescent="0.25">
      <c r="B24" s="317"/>
      <c r="C24" s="118"/>
      <c r="D24" s="119"/>
      <c r="E24" s="362"/>
      <c r="F24" s="362"/>
      <c r="G24" s="362"/>
      <c r="H24" s="344"/>
      <c r="J24" s="118"/>
      <c r="K24" s="314"/>
      <c r="L24" s="314"/>
      <c r="M24" s="119"/>
      <c r="N24" s="44">
        <f t="shared" si="1"/>
        <v>0</v>
      </c>
      <c r="O24" s="356"/>
      <c r="P24" s="359">
        <f t="shared" si="2"/>
        <v>0</v>
      </c>
    </row>
    <row r="25" spans="1:16" s="2" customFormat="1" ht="19.5" customHeight="1" thickBot="1" x14ac:dyDescent="0.25">
      <c r="B25" s="317"/>
      <c r="C25" s="118"/>
      <c r="D25" s="119"/>
      <c r="E25" s="362"/>
      <c r="F25" s="362"/>
      <c r="G25" s="362"/>
      <c r="H25" s="344"/>
      <c r="J25" s="118"/>
      <c r="K25" s="314"/>
      <c r="L25" s="345"/>
      <c r="M25" s="119"/>
      <c r="N25" s="44">
        <f>H25+I25+J25+K25+L25+M25</f>
        <v>0</v>
      </c>
      <c r="O25" s="356"/>
      <c r="P25" s="359">
        <f t="shared" si="2"/>
        <v>0</v>
      </c>
    </row>
    <row r="26" spans="1:16" s="2" customFormat="1" ht="19.5" customHeight="1" x14ac:dyDescent="0.2">
      <c r="B26" s="317"/>
      <c r="C26" s="118"/>
      <c r="D26" s="119"/>
      <c r="E26" s="362"/>
      <c r="F26" s="362"/>
      <c r="G26" s="362"/>
      <c r="H26" s="344"/>
      <c r="J26" s="118"/>
      <c r="K26" s="314"/>
      <c r="L26" s="345"/>
      <c r="M26" s="119"/>
      <c r="N26" s="44">
        <f>H26+I26+J26+K26+L26+M26</f>
        <v>0</v>
      </c>
      <c r="O26" s="356"/>
      <c r="P26" s="359">
        <f t="shared" si="2"/>
        <v>0</v>
      </c>
    </row>
    <row r="27" spans="1:16" ht="19.5" customHeight="1" x14ac:dyDescent="0.25">
      <c r="B27" s="89" t="s">
        <v>10</v>
      </c>
      <c r="H27" s="353">
        <f>SUM(H6:H26)</f>
        <v>61000</v>
      </c>
      <c r="N27" s="353"/>
      <c r="P27" s="360">
        <f>SUM(P6:P26)</f>
        <v>186000</v>
      </c>
    </row>
    <row r="29" spans="1:16" x14ac:dyDescent="0.2">
      <c r="P29" s="361" t="s">
        <v>104</v>
      </c>
    </row>
    <row r="30" spans="1:16" x14ac:dyDescent="0.2">
      <c r="P30" s="361" t="s">
        <v>105</v>
      </c>
    </row>
    <row r="31" spans="1:16" x14ac:dyDescent="0.2">
      <c r="P31" s="361" t="s">
        <v>106</v>
      </c>
    </row>
  </sheetData>
  <mergeCells count="2">
    <mergeCell ref="A1:O1"/>
    <mergeCell ref="A3:O3"/>
  </mergeCells>
  <pageMargins left="0.43307086614173229" right="0.59055118110236227" top="0.23622047244094491" bottom="0.39370078740157483" header="0.19685039370078741" footer="0.3937007874015748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8"/>
  <sheetViews>
    <sheetView workbookViewId="0">
      <selection sqref="A1:L1"/>
    </sheetView>
  </sheetViews>
  <sheetFormatPr defaultColWidth="9.140625" defaultRowHeight="12.75" x14ac:dyDescent="0.2"/>
  <cols>
    <col min="1" max="1" width="5.42578125" style="1" customWidth="1"/>
    <col min="2" max="2" width="17.7109375" style="1" customWidth="1"/>
    <col min="3" max="3" width="6.140625" style="2" customWidth="1"/>
    <col min="4" max="4" width="9.5703125" style="270" customWidth="1"/>
    <col min="5" max="5" width="8.7109375" style="2" customWidth="1"/>
    <col min="6" max="6" width="9.140625" style="2"/>
    <col min="7" max="7" width="7.85546875" style="2" customWidth="1"/>
    <col min="8" max="9" width="8.7109375" style="44" customWidth="1"/>
    <col min="10" max="10" width="8" style="2" customWidth="1"/>
    <col min="11" max="11" width="15.28515625" style="44" customWidth="1"/>
    <col min="12" max="12" width="27.42578125" style="1" customWidth="1"/>
    <col min="13" max="16384" width="9.140625" style="1"/>
  </cols>
  <sheetData>
    <row r="1" spans="1:13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9"/>
      <c r="M1" s="257"/>
    </row>
    <row r="2" spans="1:13" ht="20.25" x14ac:dyDescent="0.2">
      <c r="A2" s="248"/>
      <c r="B2" s="312" t="s">
        <v>11</v>
      </c>
      <c r="C2" s="249"/>
      <c r="D2" s="251"/>
      <c r="E2" s="249"/>
      <c r="F2" s="250"/>
      <c r="G2" s="249"/>
      <c r="H2" s="251"/>
      <c r="I2" s="251"/>
      <c r="J2" s="251"/>
      <c r="K2" s="55"/>
      <c r="L2" s="320" t="s">
        <v>61</v>
      </c>
      <c r="M2" s="257"/>
    </row>
    <row r="3" spans="1:13" ht="15.75" x14ac:dyDescent="0.2">
      <c r="A3" s="446" t="s">
        <v>122</v>
      </c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8"/>
      <c r="M3" s="257"/>
    </row>
    <row r="4" spans="1:13" ht="13.5" thickBot="1" x14ac:dyDescent="0.25">
      <c r="A4" s="252"/>
      <c r="B4" s="253"/>
      <c r="C4" s="253"/>
      <c r="D4" s="256"/>
      <c r="E4" s="255"/>
      <c r="F4" s="254"/>
      <c r="G4" s="253"/>
      <c r="H4" s="256"/>
      <c r="I4" s="256"/>
      <c r="J4" s="256"/>
      <c r="K4" s="256"/>
      <c r="L4" s="258" t="s">
        <v>62</v>
      </c>
      <c r="M4" s="257"/>
    </row>
    <row r="5" spans="1:13" x14ac:dyDescent="0.2">
      <c r="A5" s="266" t="s">
        <v>3</v>
      </c>
      <c r="B5" s="260" t="s">
        <v>51</v>
      </c>
      <c r="C5" s="260" t="s">
        <v>6</v>
      </c>
      <c r="D5" s="262" t="s">
        <v>1</v>
      </c>
      <c r="E5" s="260" t="s">
        <v>12</v>
      </c>
      <c r="F5" s="261" t="s">
        <v>2</v>
      </c>
      <c r="G5" s="260" t="s">
        <v>13</v>
      </c>
      <c r="H5" s="262" t="s">
        <v>2</v>
      </c>
      <c r="I5" s="262" t="s">
        <v>16</v>
      </c>
      <c r="J5" s="262" t="s">
        <v>4</v>
      </c>
      <c r="K5" s="262" t="s">
        <v>15</v>
      </c>
      <c r="L5" s="267" t="s">
        <v>5</v>
      </c>
      <c r="M5" s="263"/>
    </row>
    <row r="6" spans="1:13" ht="20.100000000000001" customHeight="1" x14ac:dyDescent="0.2">
      <c r="A6" s="268">
        <v>1</v>
      </c>
      <c r="B6" s="89" t="s">
        <v>57</v>
      </c>
      <c r="C6" s="76" t="s">
        <v>52</v>
      </c>
      <c r="D6" s="270">
        <v>420</v>
      </c>
      <c r="F6" s="2">
        <f t="shared" ref="F6:F19" si="0">D6*E6</f>
        <v>0</v>
      </c>
      <c r="H6" s="44">
        <f>(G6/8)*D6</f>
        <v>0</v>
      </c>
      <c r="I6" s="44">
        <f t="shared" ref="I6:I14" si="1">F6+H6</f>
        <v>0</v>
      </c>
      <c r="K6" s="44">
        <f>I6-J6</f>
        <v>0</v>
      </c>
      <c r="L6" s="343"/>
      <c r="M6" s="346"/>
    </row>
    <row r="7" spans="1:13" ht="20.100000000000001" customHeight="1" x14ac:dyDescent="0.2">
      <c r="A7" s="268">
        <v>2</v>
      </c>
      <c r="B7" s="313" t="s">
        <v>59</v>
      </c>
      <c r="C7" s="118" t="s">
        <v>48</v>
      </c>
      <c r="D7" s="119">
        <v>400</v>
      </c>
      <c r="E7" s="118"/>
      <c r="F7" s="314">
        <f t="shared" si="0"/>
        <v>0</v>
      </c>
      <c r="G7" s="118"/>
      <c r="H7" s="314">
        <f>D7/8*G7</f>
        <v>0</v>
      </c>
      <c r="I7" s="314">
        <f t="shared" si="1"/>
        <v>0</v>
      </c>
      <c r="J7" s="119"/>
      <c r="K7" s="314">
        <f>I7-J7</f>
        <v>0</v>
      </c>
      <c r="L7" s="340"/>
      <c r="M7" s="264"/>
    </row>
    <row r="8" spans="1:13" ht="20.100000000000001" customHeight="1" x14ac:dyDescent="0.2">
      <c r="A8" s="268">
        <v>3</v>
      </c>
      <c r="B8" s="313" t="s">
        <v>65</v>
      </c>
      <c r="C8" s="118" t="s">
        <v>83</v>
      </c>
      <c r="D8" s="119">
        <v>300</v>
      </c>
      <c r="E8" s="118"/>
      <c r="F8" s="314">
        <f t="shared" si="0"/>
        <v>0</v>
      </c>
      <c r="G8" s="118"/>
      <c r="H8" s="314">
        <f t="shared" ref="H8:H13" si="2">D8/8*G8</f>
        <v>0</v>
      </c>
      <c r="I8" s="314">
        <f t="shared" si="1"/>
        <v>0</v>
      </c>
      <c r="J8" s="119"/>
      <c r="K8" s="314">
        <f>I8-J8+680</f>
        <v>680</v>
      </c>
      <c r="L8" s="269"/>
      <c r="M8" s="264"/>
    </row>
    <row r="9" spans="1:13" ht="20.100000000000001" customHeight="1" x14ac:dyDescent="0.2">
      <c r="A9" s="268">
        <v>4</v>
      </c>
      <c r="B9" s="313" t="s">
        <v>60</v>
      </c>
      <c r="C9" s="118" t="s">
        <v>48</v>
      </c>
      <c r="D9" s="119">
        <v>400</v>
      </c>
      <c r="E9" s="118"/>
      <c r="F9" s="314">
        <f t="shared" si="0"/>
        <v>0</v>
      </c>
      <c r="G9" s="118"/>
      <c r="H9" s="314">
        <f t="shared" si="2"/>
        <v>0</v>
      </c>
      <c r="I9" s="314">
        <f t="shared" si="1"/>
        <v>0</v>
      </c>
      <c r="J9" s="119"/>
      <c r="K9" s="314">
        <f>I9-J9</f>
        <v>0</v>
      </c>
      <c r="L9" s="269"/>
      <c r="M9" s="264"/>
    </row>
    <row r="10" spans="1:13" ht="20.100000000000001" customHeight="1" thickBot="1" x14ac:dyDescent="0.25">
      <c r="A10" s="268">
        <v>5</v>
      </c>
      <c r="B10" s="313" t="s">
        <v>90</v>
      </c>
      <c r="C10" s="118" t="s">
        <v>83</v>
      </c>
      <c r="D10" s="119">
        <v>300</v>
      </c>
      <c r="E10" s="118"/>
      <c r="F10" s="314">
        <f t="shared" si="0"/>
        <v>0</v>
      </c>
      <c r="G10" s="118"/>
      <c r="H10" s="314">
        <f t="shared" si="2"/>
        <v>0</v>
      </c>
      <c r="I10" s="314">
        <f t="shared" si="1"/>
        <v>0</v>
      </c>
      <c r="J10" s="119"/>
      <c r="K10" s="314">
        <f>I10-J10+680</f>
        <v>680</v>
      </c>
      <c r="L10" s="269"/>
      <c r="M10" s="264"/>
    </row>
    <row r="11" spans="1:13" ht="20.100000000000001" customHeight="1" thickBot="1" x14ac:dyDescent="0.25">
      <c r="A11" s="268">
        <v>6</v>
      </c>
      <c r="B11" s="187" t="s">
        <v>98</v>
      </c>
      <c r="C11" s="118" t="s">
        <v>83</v>
      </c>
      <c r="D11" s="119">
        <v>300</v>
      </c>
      <c r="E11" s="118"/>
      <c r="F11" s="345">
        <f t="shared" si="0"/>
        <v>0</v>
      </c>
      <c r="G11" s="118"/>
      <c r="H11" s="314">
        <f t="shared" si="2"/>
        <v>0</v>
      </c>
      <c r="I11" s="314">
        <f t="shared" si="1"/>
        <v>0</v>
      </c>
      <c r="J11" s="119"/>
      <c r="K11" s="344">
        <f>I11-J11</f>
        <v>0</v>
      </c>
      <c r="L11" s="269"/>
      <c r="M11" s="264"/>
    </row>
    <row r="12" spans="1:13" ht="20.100000000000001" customHeight="1" thickBot="1" x14ac:dyDescent="0.25">
      <c r="A12" s="268">
        <v>7</v>
      </c>
      <c r="B12" s="187" t="s">
        <v>99</v>
      </c>
      <c r="C12" s="118" t="s">
        <v>83</v>
      </c>
      <c r="D12" s="119">
        <v>300</v>
      </c>
      <c r="E12" s="118"/>
      <c r="F12" s="345">
        <f t="shared" si="0"/>
        <v>0</v>
      </c>
      <c r="G12" s="118"/>
      <c r="H12" s="314">
        <f t="shared" si="2"/>
        <v>0</v>
      </c>
      <c r="I12" s="345">
        <f t="shared" si="1"/>
        <v>0</v>
      </c>
      <c r="J12" s="119"/>
      <c r="K12" s="344">
        <f>I12-J12</f>
        <v>0</v>
      </c>
      <c r="L12" s="269"/>
      <c r="M12" s="264"/>
    </row>
    <row r="13" spans="1:13" ht="20.100000000000001" customHeight="1" x14ac:dyDescent="0.2">
      <c r="A13" s="268">
        <v>8</v>
      </c>
      <c r="B13" s="187" t="s">
        <v>100</v>
      </c>
      <c r="C13" s="118" t="s">
        <v>83</v>
      </c>
      <c r="D13" s="119">
        <v>300</v>
      </c>
      <c r="E13" s="118"/>
      <c r="F13" s="345">
        <f t="shared" si="0"/>
        <v>0</v>
      </c>
      <c r="G13" s="118"/>
      <c r="H13" s="314">
        <f t="shared" si="2"/>
        <v>0</v>
      </c>
      <c r="I13" s="345">
        <f t="shared" si="1"/>
        <v>0</v>
      </c>
      <c r="J13" s="119"/>
      <c r="K13" s="344">
        <f>I13-J13</f>
        <v>0</v>
      </c>
      <c r="L13" s="269"/>
      <c r="M13" s="264"/>
    </row>
    <row r="14" spans="1:13" ht="20.100000000000001" customHeight="1" thickBot="1" x14ac:dyDescent="0.25">
      <c r="A14" s="268">
        <v>9</v>
      </c>
      <c r="B14" s="75" t="s">
        <v>47</v>
      </c>
      <c r="C14" s="76" t="s">
        <v>48</v>
      </c>
      <c r="D14" s="107">
        <v>430</v>
      </c>
      <c r="E14" s="76"/>
      <c r="F14" s="54">
        <f t="shared" si="0"/>
        <v>0</v>
      </c>
      <c r="G14" s="76"/>
      <c r="H14" s="54">
        <f>(G14/8)*D14</f>
        <v>0</v>
      </c>
      <c r="I14" s="54">
        <f t="shared" si="1"/>
        <v>0</v>
      </c>
      <c r="J14" s="86"/>
      <c r="K14" s="54">
        <f>I14-J14</f>
        <v>0</v>
      </c>
      <c r="L14" s="269"/>
      <c r="M14" s="264"/>
    </row>
    <row r="15" spans="1:13" ht="20.100000000000001" customHeight="1" thickBot="1" x14ac:dyDescent="0.25">
      <c r="A15" s="265"/>
      <c r="B15" s="117" t="s">
        <v>58</v>
      </c>
      <c r="C15" s="76" t="s">
        <v>63</v>
      </c>
      <c r="D15" s="95">
        <v>233.333</v>
      </c>
      <c r="E15" s="76"/>
      <c r="F15" s="86">
        <f t="shared" si="0"/>
        <v>0</v>
      </c>
      <c r="G15" s="76"/>
      <c r="H15" s="54">
        <f t="shared" ref="H15:H25" si="3">(G15/8)*D15</f>
        <v>0</v>
      </c>
      <c r="I15" s="86">
        <f>F15</f>
        <v>0</v>
      </c>
      <c r="J15" s="88"/>
      <c r="K15" s="54">
        <f t="shared" ref="K15:K25" si="4">I15-J15</f>
        <v>0</v>
      </c>
      <c r="L15" s="273"/>
      <c r="M15" s="264"/>
    </row>
    <row r="16" spans="1:13" ht="20.100000000000001" customHeight="1" x14ac:dyDescent="0.2">
      <c r="A16" s="4"/>
      <c r="B16" s="117" t="s">
        <v>82</v>
      </c>
      <c r="C16" s="76" t="s">
        <v>63</v>
      </c>
      <c r="D16" s="95">
        <v>300</v>
      </c>
      <c r="E16" s="76"/>
      <c r="F16" s="86">
        <f t="shared" si="0"/>
        <v>0</v>
      </c>
      <c r="G16" s="76"/>
      <c r="H16" s="54">
        <f t="shared" si="3"/>
        <v>0</v>
      </c>
      <c r="I16" s="86">
        <f>F16</f>
        <v>0</v>
      </c>
      <c r="J16" s="88"/>
      <c r="K16" s="54">
        <f t="shared" si="4"/>
        <v>0</v>
      </c>
      <c r="L16" s="4"/>
    </row>
    <row r="17" spans="2:11" ht="20.100000000000001" customHeight="1" x14ac:dyDescent="0.2">
      <c r="B17" s="75" t="s">
        <v>84</v>
      </c>
      <c r="C17" s="89" t="s">
        <v>31</v>
      </c>
      <c r="D17" s="88">
        <v>340</v>
      </c>
      <c r="E17" s="76"/>
      <c r="F17" s="54">
        <f t="shared" si="0"/>
        <v>0</v>
      </c>
      <c r="G17" s="76"/>
      <c r="H17" s="54">
        <f t="shared" si="3"/>
        <v>0</v>
      </c>
      <c r="I17" s="54">
        <f t="shared" ref="I17:I25" si="5">F17+H17</f>
        <v>0</v>
      </c>
      <c r="J17" s="88"/>
      <c r="K17" s="54">
        <f t="shared" si="4"/>
        <v>0</v>
      </c>
    </row>
    <row r="18" spans="2:11" ht="20.100000000000001" customHeight="1" x14ac:dyDescent="0.2">
      <c r="B18" s="75" t="s">
        <v>50</v>
      </c>
      <c r="C18" s="89" t="s">
        <v>49</v>
      </c>
      <c r="D18" s="88">
        <v>410</v>
      </c>
      <c r="E18" s="76"/>
      <c r="F18" s="54">
        <f t="shared" si="0"/>
        <v>0</v>
      </c>
      <c r="G18" s="76"/>
      <c r="H18" s="54">
        <f t="shared" si="3"/>
        <v>0</v>
      </c>
      <c r="I18" s="54">
        <f t="shared" si="5"/>
        <v>0</v>
      </c>
      <c r="J18" s="88"/>
      <c r="K18" s="54">
        <f t="shared" si="4"/>
        <v>0</v>
      </c>
    </row>
    <row r="19" spans="2:11" ht="20.100000000000001" customHeight="1" x14ac:dyDescent="0.2">
      <c r="B19" s="75" t="s">
        <v>92</v>
      </c>
      <c r="C19" s="76" t="s">
        <v>31</v>
      </c>
      <c r="D19" s="259">
        <v>340</v>
      </c>
      <c r="E19" s="76"/>
      <c r="F19" s="54">
        <f t="shared" si="0"/>
        <v>0</v>
      </c>
      <c r="G19" s="76"/>
      <c r="H19" s="54">
        <f t="shared" si="3"/>
        <v>0</v>
      </c>
      <c r="I19" s="54">
        <f t="shared" si="5"/>
        <v>0</v>
      </c>
      <c r="J19" s="88"/>
      <c r="K19" s="54">
        <f t="shared" si="4"/>
        <v>0</v>
      </c>
    </row>
    <row r="20" spans="2:11" ht="20.100000000000001" customHeight="1" x14ac:dyDescent="0.2">
      <c r="B20" s="89" t="s">
        <v>85</v>
      </c>
      <c r="C20" s="89" t="s">
        <v>31</v>
      </c>
      <c r="D20" s="259">
        <v>400</v>
      </c>
      <c r="E20" s="76"/>
      <c r="F20" s="54">
        <f t="shared" ref="F20:F25" si="6">D20*E20</f>
        <v>0</v>
      </c>
      <c r="G20" s="76"/>
      <c r="H20" s="54">
        <f t="shared" si="3"/>
        <v>0</v>
      </c>
      <c r="I20" s="54">
        <f t="shared" si="5"/>
        <v>0</v>
      </c>
      <c r="J20" s="88"/>
      <c r="K20" s="54">
        <f t="shared" si="4"/>
        <v>0</v>
      </c>
    </row>
    <row r="21" spans="2:11" ht="20.100000000000001" customHeight="1" x14ac:dyDescent="0.2">
      <c r="B21" s="89" t="s">
        <v>91</v>
      </c>
      <c r="C21" s="89" t="s">
        <v>31</v>
      </c>
      <c r="D21" s="259">
        <v>340</v>
      </c>
      <c r="E21" s="76"/>
      <c r="F21" s="54">
        <f t="shared" si="6"/>
        <v>0</v>
      </c>
      <c r="G21" s="76"/>
      <c r="H21" s="54">
        <f t="shared" si="3"/>
        <v>0</v>
      </c>
      <c r="I21" s="54">
        <f t="shared" si="5"/>
        <v>0</v>
      </c>
      <c r="J21" s="88"/>
      <c r="K21" s="54">
        <f t="shared" si="4"/>
        <v>0</v>
      </c>
    </row>
    <row r="22" spans="2:11" ht="20.100000000000001" customHeight="1" x14ac:dyDescent="0.2">
      <c r="B22" s="200" t="s">
        <v>95</v>
      </c>
      <c r="C22" s="200" t="s">
        <v>31</v>
      </c>
      <c r="D22" s="306">
        <v>250</v>
      </c>
      <c r="E22" s="90"/>
      <c r="F22" s="307">
        <f t="shared" si="6"/>
        <v>0</v>
      </c>
      <c r="G22" s="90"/>
      <c r="H22" s="307">
        <f t="shared" si="3"/>
        <v>0</v>
      </c>
      <c r="I22" s="307">
        <f t="shared" si="5"/>
        <v>0</v>
      </c>
      <c r="J22" s="198"/>
      <c r="K22" s="307">
        <f t="shared" si="4"/>
        <v>0</v>
      </c>
    </row>
    <row r="23" spans="2:11" ht="20.100000000000001" customHeight="1" x14ac:dyDescent="0.2">
      <c r="B23" s="89" t="s">
        <v>96</v>
      </c>
      <c r="C23" s="200" t="s">
        <v>31</v>
      </c>
      <c r="D23" s="259">
        <v>250</v>
      </c>
      <c r="E23" s="76"/>
      <c r="F23" s="54">
        <f t="shared" si="6"/>
        <v>0</v>
      </c>
      <c r="G23" s="76"/>
      <c r="H23" s="54">
        <f t="shared" si="3"/>
        <v>0</v>
      </c>
      <c r="I23" s="54">
        <f t="shared" si="5"/>
        <v>0</v>
      </c>
      <c r="J23" s="88"/>
      <c r="K23" s="54">
        <f t="shared" si="4"/>
        <v>0</v>
      </c>
    </row>
    <row r="24" spans="2:11" ht="20.100000000000001" customHeight="1" x14ac:dyDescent="0.2">
      <c r="B24" s="89" t="s">
        <v>97</v>
      </c>
      <c r="C24" s="200" t="s">
        <v>31</v>
      </c>
      <c r="D24" s="259">
        <v>250</v>
      </c>
      <c r="E24" s="76"/>
      <c r="F24" s="54">
        <f t="shared" si="6"/>
        <v>0</v>
      </c>
      <c r="G24" s="76"/>
      <c r="H24" s="54">
        <f t="shared" si="3"/>
        <v>0</v>
      </c>
      <c r="I24" s="54">
        <f t="shared" si="5"/>
        <v>0</v>
      </c>
      <c r="J24" s="88"/>
      <c r="K24" s="54">
        <f t="shared" si="4"/>
        <v>0</v>
      </c>
    </row>
    <row r="25" spans="2:11" ht="20.100000000000001" customHeight="1" x14ac:dyDescent="0.2">
      <c r="B25" s="89" t="s">
        <v>94</v>
      </c>
      <c r="C25" s="89" t="s">
        <v>31</v>
      </c>
      <c r="D25" s="259">
        <v>6000</v>
      </c>
      <c r="E25" s="76"/>
      <c r="F25" s="54">
        <f t="shared" si="6"/>
        <v>0</v>
      </c>
      <c r="G25" s="76"/>
      <c r="H25" s="54">
        <f t="shared" si="3"/>
        <v>0</v>
      </c>
      <c r="I25" s="54">
        <f t="shared" si="5"/>
        <v>0</v>
      </c>
      <c r="J25" s="88"/>
      <c r="K25" s="54">
        <f t="shared" si="4"/>
        <v>0</v>
      </c>
    </row>
    <row r="26" spans="2:11" ht="20.100000000000001" customHeight="1" x14ac:dyDescent="0.2">
      <c r="B26" s="89"/>
      <c r="C26" s="89"/>
      <c r="D26" s="259"/>
      <c r="E26" s="76"/>
      <c r="F26" s="54"/>
      <c r="G26" s="76"/>
      <c r="H26" s="54"/>
      <c r="I26" s="54"/>
      <c r="J26" s="88"/>
      <c r="K26" s="54"/>
    </row>
    <row r="27" spans="2:11" ht="20.100000000000001" customHeight="1" x14ac:dyDescent="0.25">
      <c r="K27" s="354">
        <f>SUM(K6:K26)</f>
        <v>1360</v>
      </c>
    </row>
    <row r="28" spans="2:11" ht="20.100000000000001" customHeight="1" x14ac:dyDescent="0.2"/>
  </sheetData>
  <mergeCells count="2">
    <mergeCell ref="A1:L1"/>
    <mergeCell ref="A3:L3"/>
  </mergeCells>
  <pageMargins left="0.43307086614173229" right="0.33" top="0.23622047244094491" bottom="0.39370078740157483" header="0.19685039370078741" footer="0.3937007874015748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O64"/>
  <sheetViews>
    <sheetView workbookViewId="0">
      <selection sqref="A1:K1"/>
    </sheetView>
  </sheetViews>
  <sheetFormatPr defaultColWidth="9.140625" defaultRowHeight="12.75" x14ac:dyDescent="0.2"/>
  <cols>
    <col min="1" max="1" width="6.140625" style="79" customWidth="1"/>
    <col min="2" max="2" width="25.5703125" style="79" customWidth="1"/>
    <col min="3" max="4" width="9.5703125" style="79" customWidth="1"/>
    <col min="5" max="5" width="9.7109375" style="96" customWidth="1"/>
    <col min="6" max="6" width="8.28515625" style="79" customWidth="1"/>
    <col min="7" max="7" width="9.7109375" style="96" customWidth="1"/>
    <col min="8" max="8" width="11.7109375" style="96" customWidth="1"/>
    <col min="9" max="9" width="10.140625" style="106" customWidth="1"/>
    <col min="10" max="10" width="16.28515625" style="102" customWidth="1"/>
    <col min="11" max="11" width="20.5703125" style="79" customWidth="1"/>
    <col min="12" max="12" width="17.28515625" style="78" customWidth="1"/>
    <col min="13" max="16384" width="9.140625" style="79"/>
  </cols>
  <sheetData>
    <row r="1" spans="1:14" ht="21.75" customHeight="1" x14ac:dyDescent="0.35">
      <c r="A1" s="449" t="s">
        <v>7</v>
      </c>
      <c r="B1" s="450"/>
      <c r="C1" s="450"/>
      <c r="D1" s="450"/>
      <c r="E1" s="450"/>
      <c r="F1" s="450"/>
      <c r="G1" s="450"/>
      <c r="H1" s="450"/>
      <c r="I1" s="450"/>
      <c r="J1" s="450"/>
      <c r="K1" s="451"/>
    </row>
    <row r="2" spans="1:14" ht="18" customHeight="1" x14ac:dyDescent="0.3">
      <c r="A2" s="318" t="s">
        <v>11</v>
      </c>
      <c r="B2" s="319"/>
      <c r="C2" s="81"/>
      <c r="D2" s="81"/>
      <c r="E2" s="43"/>
      <c r="F2" s="81"/>
      <c r="G2" s="43"/>
      <c r="H2" s="43"/>
      <c r="I2" s="103"/>
      <c r="J2" s="97"/>
      <c r="K2" s="321" t="s">
        <v>8</v>
      </c>
    </row>
    <row r="3" spans="1:14" x14ac:dyDescent="0.2">
      <c r="A3" s="80"/>
      <c r="B3" s="81"/>
      <c r="C3" s="47" t="s">
        <v>88</v>
      </c>
      <c r="D3" s="47"/>
      <c r="E3" s="48"/>
      <c r="F3" s="49"/>
      <c r="G3" s="48"/>
      <c r="H3" s="48"/>
      <c r="I3" s="104"/>
      <c r="J3" s="97"/>
      <c r="K3" s="69"/>
    </row>
    <row r="4" spans="1:14" ht="13.5" thickBot="1" x14ac:dyDescent="0.25">
      <c r="A4" s="82"/>
      <c r="B4" s="83"/>
      <c r="C4" s="34"/>
      <c r="D4" s="34"/>
      <c r="E4" s="84"/>
      <c r="F4" s="83"/>
      <c r="G4" s="84"/>
      <c r="H4" s="84"/>
      <c r="I4" s="105"/>
      <c r="J4" s="98"/>
      <c r="K4" s="85"/>
    </row>
    <row r="5" spans="1:14" ht="17.25" customHeight="1" thickBot="1" x14ac:dyDescent="0.25">
      <c r="A5" s="315" t="s">
        <v>3</v>
      </c>
      <c r="B5" s="316" t="s">
        <v>0</v>
      </c>
      <c r="C5" s="452" t="s">
        <v>87</v>
      </c>
      <c r="D5" s="453"/>
      <c r="E5" s="453"/>
      <c r="F5" s="453"/>
      <c r="G5" s="453"/>
      <c r="H5" s="453"/>
      <c r="I5" s="454"/>
      <c r="J5" s="341" t="s">
        <v>89</v>
      </c>
      <c r="K5" s="342" t="s">
        <v>5</v>
      </c>
      <c r="L5" s="110"/>
      <c r="M5" s="112"/>
      <c r="N5" s="111"/>
    </row>
    <row r="6" spans="1:14" ht="26.25" customHeight="1" x14ac:dyDescent="0.2">
      <c r="A6" s="92">
        <v>1</v>
      </c>
      <c r="B6" s="201"/>
      <c r="C6" s="92"/>
      <c r="D6" s="92"/>
      <c r="E6" s="93"/>
      <c r="F6" s="92"/>
      <c r="G6" s="93"/>
      <c r="H6" s="93"/>
      <c r="I6" s="116"/>
      <c r="J6" s="308"/>
      <c r="K6" s="309"/>
      <c r="L6" s="93"/>
    </row>
    <row r="7" spans="1:14" ht="26.25" customHeight="1" x14ac:dyDescent="0.2">
      <c r="A7" s="76">
        <v>2</v>
      </c>
      <c r="B7" s="117"/>
      <c r="C7" s="76"/>
      <c r="D7" s="76"/>
      <c r="E7" s="86"/>
      <c r="F7" s="76"/>
      <c r="G7" s="86"/>
      <c r="H7" s="86"/>
      <c r="I7" s="88"/>
      <c r="J7" s="71"/>
      <c r="K7" s="70"/>
      <c r="L7" s="93"/>
    </row>
    <row r="8" spans="1:14" ht="26.25" customHeight="1" x14ac:dyDescent="0.2">
      <c r="A8" s="76">
        <v>3</v>
      </c>
      <c r="B8" s="117"/>
      <c r="C8" s="76"/>
      <c r="D8" s="76"/>
      <c r="E8" s="86"/>
      <c r="F8" s="76"/>
      <c r="G8" s="86"/>
      <c r="H8" s="86"/>
      <c r="I8" s="88"/>
      <c r="J8" s="71"/>
      <c r="K8" s="70"/>
      <c r="L8" s="93"/>
    </row>
    <row r="9" spans="1:14" ht="26.25" customHeight="1" x14ac:dyDescent="0.2">
      <c r="A9" s="76">
        <v>4</v>
      </c>
      <c r="B9" s="117"/>
      <c r="C9" s="76"/>
      <c r="D9" s="76"/>
      <c r="E9" s="86"/>
      <c r="F9" s="76"/>
      <c r="G9" s="86"/>
      <c r="H9" s="86"/>
      <c r="I9" s="88"/>
      <c r="J9" s="71"/>
      <c r="K9" s="70"/>
      <c r="L9" s="93"/>
    </row>
    <row r="10" spans="1:14" ht="26.25" customHeight="1" x14ac:dyDescent="0.2">
      <c r="A10" s="76">
        <v>5</v>
      </c>
      <c r="B10" s="117"/>
      <c r="C10" s="76"/>
      <c r="D10" s="76"/>
      <c r="E10" s="86"/>
      <c r="F10" s="76"/>
      <c r="G10" s="86"/>
      <c r="H10" s="86"/>
      <c r="I10" s="88"/>
      <c r="J10" s="71"/>
      <c r="K10" s="70"/>
      <c r="L10" s="93"/>
    </row>
    <row r="11" spans="1:14" ht="26.25" customHeight="1" x14ac:dyDescent="0.2">
      <c r="A11" s="76">
        <v>6</v>
      </c>
      <c r="B11" s="117"/>
      <c r="C11" s="76"/>
      <c r="D11" s="76"/>
      <c r="E11" s="86"/>
      <c r="F11" s="76"/>
      <c r="G11" s="86"/>
      <c r="H11" s="86"/>
      <c r="I11" s="88"/>
      <c r="J11" s="71"/>
      <c r="K11" s="70"/>
      <c r="L11" s="93"/>
    </row>
    <row r="12" spans="1:14" ht="26.25" customHeight="1" x14ac:dyDescent="0.2">
      <c r="A12" s="76">
        <v>7</v>
      </c>
      <c r="B12" s="117"/>
      <c r="C12" s="76"/>
      <c r="D12" s="76"/>
      <c r="E12" s="86"/>
      <c r="F12" s="76"/>
      <c r="G12" s="86"/>
      <c r="H12" s="86"/>
      <c r="I12" s="88"/>
      <c r="J12" s="71"/>
      <c r="K12" s="70"/>
      <c r="L12" s="93"/>
    </row>
    <row r="13" spans="1:14" ht="26.25" customHeight="1" x14ac:dyDescent="0.2">
      <c r="A13" s="76">
        <v>8</v>
      </c>
      <c r="B13" s="117"/>
      <c r="C13" s="76"/>
      <c r="D13" s="76"/>
      <c r="E13" s="86"/>
      <c r="F13" s="76"/>
      <c r="G13" s="86"/>
      <c r="H13" s="86"/>
      <c r="I13" s="88"/>
      <c r="J13" s="71"/>
      <c r="K13" s="70"/>
      <c r="L13" s="93"/>
    </row>
    <row r="14" spans="1:14" ht="26.25" customHeight="1" x14ac:dyDescent="0.2">
      <c r="A14" s="76">
        <v>9</v>
      </c>
      <c r="B14" s="117"/>
      <c r="C14" s="76"/>
      <c r="D14" s="76"/>
      <c r="E14" s="86"/>
      <c r="F14" s="76"/>
      <c r="G14" s="86"/>
      <c r="H14" s="86"/>
      <c r="I14" s="88"/>
      <c r="J14" s="71"/>
      <c r="K14" s="70"/>
      <c r="L14" s="93"/>
    </row>
    <row r="15" spans="1:14" ht="26.25" customHeight="1" x14ac:dyDescent="0.2">
      <c r="A15" s="76">
        <v>10</v>
      </c>
      <c r="B15" s="117"/>
      <c r="C15" s="76"/>
      <c r="D15" s="76"/>
      <c r="E15" s="86"/>
      <c r="F15" s="76"/>
      <c r="G15" s="86"/>
      <c r="H15" s="86"/>
      <c r="I15" s="88"/>
      <c r="J15" s="71"/>
      <c r="K15" s="70"/>
      <c r="L15" s="93"/>
    </row>
    <row r="16" spans="1:14" ht="26.25" customHeight="1" x14ac:dyDescent="0.2">
      <c r="A16" s="76">
        <v>11</v>
      </c>
      <c r="B16" s="117"/>
      <c r="C16" s="76"/>
      <c r="D16" s="76"/>
      <c r="E16" s="86"/>
      <c r="F16" s="76"/>
      <c r="G16" s="86"/>
      <c r="H16" s="86"/>
      <c r="I16" s="88"/>
      <c r="J16" s="71"/>
      <c r="K16" s="70"/>
      <c r="L16" s="93"/>
    </row>
    <row r="17" spans="1:15" ht="26.25" customHeight="1" x14ac:dyDescent="0.2">
      <c r="A17" s="76">
        <v>12</v>
      </c>
      <c r="B17" s="117"/>
      <c r="C17" s="76"/>
      <c r="D17" s="76"/>
      <c r="E17" s="86"/>
      <c r="F17" s="76"/>
      <c r="G17" s="86"/>
      <c r="H17" s="86"/>
      <c r="I17" s="88"/>
      <c r="J17" s="71"/>
      <c r="K17" s="70"/>
      <c r="L17" s="93"/>
    </row>
    <row r="18" spans="1:15" ht="26.25" customHeight="1" x14ac:dyDescent="0.2">
      <c r="A18" s="76">
        <v>13</v>
      </c>
      <c r="B18" s="117"/>
      <c r="C18" s="76"/>
      <c r="D18" s="76"/>
      <c r="E18" s="86"/>
      <c r="F18" s="76"/>
      <c r="G18" s="86"/>
      <c r="H18" s="86"/>
      <c r="I18" s="88"/>
      <c r="J18" s="71"/>
      <c r="K18" s="70"/>
      <c r="L18" s="93"/>
    </row>
    <row r="19" spans="1:15" ht="26.1" customHeight="1" x14ac:dyDescent="0.2">
      <c r="A19" s="76">
        <v>14</v>
      </c>
      <c r="B19" s="117"/>
      <c r="C19" s="76"/>
      <c r="D19" s="76"/>
      <c r="E19" s="86"/>
      <c r="F19" s="76"/>
      <c r="G19" s="86"/>
      <c r="H19" s="86"/>
      <c r="I19" s="88"/>
      <c r="J19" s="71"/>
      <c r="K19" s="70"/>
      <c r="L19" s="86"/>
    </row>
    <row r="20" spans="1:15" ht="26.1" customHeight="1" x14ac:dyDescent="0.2">
      <c r="A20" s="76">
        <v>15</v>
      </c>
      <c r="B20" s="117"/>
      <c r="C20" s="76"/>
      <c r="D20" s="76"/>
      <c r="E20" s="86"/>
      <c r="F20" s="76"/>
      <c r="G20" s="86"/>
      <c r="H20" s="86"/>
      <c r="I20" s="88"/>
      <c r="J20" s="71"/>
      <c r="K20" s="76"/>
      <c r="L20" s="86"/>
      <c r="N20" s="99"/>
    </row>
    <row r="21" spans="1:15" ht="26.1" customHeight="1" x14ac:dyDescent="0.2">
      <c r="A21" s="76">
        <v>16</v>
      </c>
      <c r="B21" s="117"/>
      <c r="C21" s="76"/>
      <c r="D21" s="76"/>
      <c r="E21" s="86"/>
      <c r="F21" s="76"/>
      <c r="G21" s="86"/>
      <c r="H21" s="86"/>
      <c r="I21" s="88"/>
      <c r="J21" s="71"/>
      <c r="K21" s="89"/>
      <c r="L21" s="100"/>
    </row>
    <row r="22" spans="1:15" ht="26.1" customHeight="1" thickBot="1" x14ac:dyDescent="0.25">
      <c r="A22" s="90">
        <v>17</v>
      </c>
      <c r="B22" s="197"/>
      <c r="C22" s="199"/>
      <c r="D22" s="199"/>
      <c r="E22" s="199"/>
      <c r="F22" s="90"/>
      <c r="G22" s="199"/>
      <c r="H22" s="199"/>
      <c r="I22" s="198"/>
      <c r="J22" s="74"/>
      <c r="K22" s="200"/>
      <c r="L22" s="100"/>
    </row>
    <row r="23" spans="1:15" ht="26.1" customHeight="1" thickBot="1" x14ac:dyDescent="0.25">
      <c r="A23" s="204">
        <v>18</v>
      </c>
      <c r="B23" s="205" t="s">
        <v>34</v>
      </c>
      <c r="C23" s="207"/>
      <c r="D23" s="207"/>
      <c r="E23" s="208"/>
      <c r="F23" s="207"/>
      <c r="G23" s="208"/>
      <c r="H23" s="208"/>
      <c r="I23" s="206"/>
      <c r="J23" s="209"/>
      <c r="K23" s="210"/>
      <c r="L23" s="100"/>
      <c r="O23" s="99"/>
    </row>
    <row r="24" spans="1:15" ht="26.1" customHeight="1" x14ac:dyDescent="0.2">
      <c r="A24" s="92"/>
      <c r="B24" s="201"/>
      <c r="C24" s="92"/>
      <c r="D24" s="92"/>
      <c r="E24" s="202"/>
      <c r="F24" s="92"/>
      <c r="G24" s="202"/>
      <c r="H24" s="202"/>
      <c r="I24" s="116"/>
      <c r="J24" s="203"/>
      <c r="K24" s="92"/>
      <c r="N24" s="79">
        <v>4900</v>
      </c>
    </row>
    <row r="25" spans="1:15" ht="26.1" customHeight="1" x14ac:dyDescent="0.2">
      <c r="A25" s="89"/>
      <c r="B25" s="117"/>
      <c r="C25" s="89"/>
      <c r="D25" s="89"/>
      <c r="E25" s="94"/>
      <c r="F25" s="89"/>
      <c r="G25" s="94"/>
      <c r="H25" s="94"/>
      <c r="I25" s="88"/>
      <c r="J25" s="101"/>
      <c r="K25" s="89"/>
      <c r="N25" s="79">
        <v>5140</v>
      </c>
    </row>
    <row r="26" spans="1:15" ht="26.1" customHeight="1" x14ac:dyDescent="0.2">
      <c r="A26" s="89"/>
      <c r="B26" s="117"/>
      <c r="C26" s="89"/>
      <c r="D26" s="89"/>
      <c r="E26" s="94"/>
      <c r="F26" s="89"/>
      <c r="G26" s="94"/>
      <c r="H26" s="94"/>
      <c r="I26" s="88"/>
      <c r="J26" s="101"/>
      <c r="K26" s="89"/>
      <c r="N26" s="79">
        <f>SUM(N24:N25)</f>
        <v>10040</v>
      </c>
    </row>
    <row r="27" spans="1:15" ht="26.1" customHeight="1" x14ac:dyDescent="0.2">
      <c r="A27" s="92">
        <v>1</v>
      </c>
      <c r="B27" s="117"/>
      <c r="C27" s="86"/>
      <c r="D27" s="86"/>
      <c r="E27" s="86"/>
      <c r="F27" s="76"/>
      <c r="G27" s="86"/>
      <c r="H27" s="86"/>
      <c r="I27" s="88"/>
      <c r="J27" s="86"/>
      <c r="K27" s="70"/>
    </row>
    <row r="28" spans="1:15" ht="26.1" customHeight="1" x14ac:dyDescent="0.2">
      <c r="A28" s="76">
        <v>2</v>
      </c>
      <c r="B28" s="117"/>
      <c r="C28" s="86"/>
      <c r="D28" s="86"/>
      <c r="E28" s="86"/>
      <c r="F28" s="76"/>
      <c r="G28" s="86"/>
      <c r="H28" s="86"/>
      <c r="I28" s="88"/>
      <c r="J28" s="86"/>
      <c r="K28" s="70"/>
    </row>
    <row r="29" spans="1:15" ht="26.1" customHeight="1" x14ac:dyDescent="0.2">
      <c r="A29" s="76">
        <v>3</v>
      </c>
      <c r="B29" s="117"/>
      <c r="C29" s="86"/>
      <c r="D29" s="86"/>
      <c r="E29" s="86"/>
      <c r="F29" s="76"/>
      <c r="G29" s="86"/>
      <c r="H29" s="86"/>
      <c r="I29" s="88"/>
      <c r="J29" s="86"/>
      <c r="K29" s="70"/>
    </row>
    <row r="30" spans="1:15" ht="26.1" customHeight="1" x14ac:dyDescent="0.2">
      <c r="A30" s="76">
        <v>4</v>
      </c>
      <c r="B30" s="117"/>
      <c r="C30" s="86"/>
      <c r="D30" s="86"/>
      <c r="E30" s="86"/>
      <c r="F30" s="76"/>
      <c r="G30" s="86"/>
      <c r="H30" s="86"/>
      <c r="I30" s="88"/>
      <c r="J30" s="86"/>
      <c r="K30" s="70"/>
    </row>
    <row r="31" spans="1:15" ht="26.1" customHeight="1" x14ac:dyDescent="0.2">
      <c r="A31" s="76">
        <v>5</v>
      </c>
      <c r="B31" s="117"/>
      <c r="C31" s="86"/>
      <c r="D31" s="86"/>
      <c r="E31" s="86"/>
      <c r="F31" s="76"/>
      <c r="G31" s="86"/>
      <c r="H31" s="86"/>
      <c r="I31" s="88"/>
      <c r="J31" s="86"/>
      <c r="K31" s="70"/>
    </row>
    <row r="32" spans="1:15" ht="26.1" customHeight="1" x14ac:dyDescent="0.2">
      <c r="A32" s="76">
        <v>6</v>
      </c>
      <c r="B32" s="117"/>
      <c r="C32" s="86"/>
      <c r="D32" s="86"/>
      <c r="E32" s="86"/>
      <c r="F32" s="76"/>
      <c r="G32" s="86"/>
      <c r="H32" s="86"/>
      <c r="I32" s="88"/>
      <c r="J32" s="86"/>
      <c r="K32" s="70"/>
    </row>
    <row r="33" spans="1:11" ht="26.1" customHeight="1" x14ac:dyDescent="0.2">
      <c r="A33" s="89"/>
      <c r="B33" s="117"/>
      <c r="C33" s="89"/>
      <c r="D33" s="89"/>
      <c r="E33" s="94"/>
      <c r="F33" s="89"/>
      <c r="G33" s="94"/>
      <c r="H33" s="94"/>
      <c r="I33" s="88"/>
      <c r="J33" s="101"/>
      <c r="K33" s="89"/>
    </row>
    <row r="34" spans="1:11" ht="26.1" customHeight="1" x14ac:dyDescent="0.2">
      <c r="A34" s="89"/>
      <c r="B34" s="117"/>
      <c r="C34" s="89"/>
      <c r="D34" s="89"/>
      <c r="E34" s="94"/>
      <c r="F34" s="89"/>
      <c r="G34" s="94"/>
      <c r="H34" s="94"/>
      <c r="I34" s="88"/>
      <c r="J34" s="101"/>
      <c r="K34" s="89"/>
    </row>
    <row r="35" spans="1:11" ht="26.1" customHeight="1" x14ac:dyDescent="0.2">
      <c r="A35" s="89"/>
      <c r="B35" s="117"/>
      <c r="C35" s="89"/>
      <c r="D35" s="89"/>
      <c r="E35" s="94"/>
      <c r="F35" s="89"/>
      <c r="G35" s="94"/>
      <c r="H35" s="94"/>
      <c r="I35" s="88"/>
      <c r="J35" s="101"/>
      <c r="K35" s="89"/>
    </row>
    <row r="36" spans="1:11" ht="26.1" customHeight="1" x14ac:dyDescent="0.2">
      <c r="A36" s="89"/>
      <c r="B36" s="117"/>
      <c r="C36" s="89"/>
      <c r="D36" s="89"/>
      <c r="E36" s="94"/>
      <c r="F36" s="89"/>
      <c r="G36" s="94"/>
      <c r="H36" s="94"/>
      <c r="I36" s="88"/>
      <c r="J36" s="101"/>
      <c r="K36" s="89"/>
    </row>
    <row r="37" spans="1:11" ht="26.1" customHeight="1" x14ac:dyDescent="0.2">
      <c r="A37" s="89"/>
      <c r="B37" s="117"/>
      <c r="C37" s="89"/>
      <c r="D37" s="89"/>
      <c r="E37" s="94"/>
      <c r="F37" s="89"/>
      <c r="G37" s="94"/>
      <c r="H37" s="94"/>
      <c r="I37" s="88"/>
      <c r="J37" s="101"/>
      <c r="K37" s="89"/>
    </row>
    <row r="38" spans="1:11" ht="26.1" customHeight="1" x14ac:dyDescent="0.2">
      <c r="A38" s="89"/>
      <c r="B38" s="117"/>
      <c r="C38" s="89"/>
      <c r="D38" s="89"/>
      <c r="E38" s="94"/>
      <c r="F38" s="89"/>
      <c r="G38" s="94"/>
      <c r="H38" s="94"/>
      <c r="I38" s="88"/>
      <c r="J38" s="101"/>
      <c r="K38" s="89"/>
    </row>
    <row r="39" spans="1:11" ht="26.1" customHeight="1" x14ac:dyDescent="0.2">
      <c r="A39" s="89"/>
      <c r="B39" s="117"/>
      <c r="C39" s="89"/>
      <c r="D39" s="89"/>
      <c r="E39" s="94"/>
      <c r="F39" s="89"/>
      <c r="G39" s="94"/>
      <c r="H39" s="94"/>
      <c r="I39" s="88"/>
      <c r="J39" s="101"/>
      <c r="K39" s="89"/>
    </row>
    <row r="40" spans="1:11" ht="26.1" customHeight="1" x14ac:dyDescent="0.2">
      <c r="A40" s="89"/>
      <c r="B40" s="117"/>
      <c r="C40" s="89"/>
      <c r="D40" s="89"/>
      <c r="E40" s="94"/>
      <c r="F40" s="89"/>
      <c r="G40" s="94"/>
      <c r="H40" s="94"/>
      <c r="I40" s="88"/>
      <c r="J40" s="101"/>
      <c r="K40" s="89"/>
    </row>
    <row r="41" spans="1:11" x14ac:dyDescent="0.2">
      <c r="A41" s="89"/>
      <c r="B41" s="117"/>
      <c r="C41" s="89"/>
      <c r="D41" s="89"/>
      <c r="E41" s="94"/>
      <c r="F41" s="89"/>
      <c r="G41" s="94"/>
      <c r="H41" s="94"/>
      <c r="I41" s="88"/>
      <c r="J41" s="101"/>
      <c r="K41" s="89"/>
    </row>
    <row r="42" spans="1:11" x14ac:dyDescent="0.2">
      <c r="A42" s="89"/>
      <c r="B42" s="117"/>
      <c r="C42" s="89"/>
      <c r="D42" s="89"/>
      <c r="E42" s="94"/>
      <c r="F42" s="89"/>
      <c r="G42" s="94"/>
      <c r="H42" s="94"/>
      <c r="I42" s="88"/>
      <c r="J42" s="101"/>
      <c r="K42" s="89"/>
    </row>
    <row r="43" spans="1:11" x14ac:dyDescent="0.2">
      <c r="A43" s="89"/>
      <c r="B43" s="117"/>
      <c r="C43" s="89"/>
      <c r="D43" s="89"/>
      <c r="E43" s="94"/>
      <c r="F43" s="89"/>
      <c r="G43" s="94"/>
      <c r="H43" s="94"/>
      <c r="I43" s="88"/>
      <c r="J43" s="101"/>
      <c r="K43" s="89"/>
    </row>
    <row r="44" spans="1:11" x14ac:dyDescent="0.2">
      <c r="A44" s="89"/>
      <c r="B44" s="117"/>
      <c r="C44" s="89"/>
      <c r="D44" s="89"/>
      <c r="E44" s="94"/>
      <c r="F44" s="89"/>
      <c r="G44" s="94"/>
      <c r="H44" s="94"/>
      <c r="I44" s="88"/>
      <c r="J44" s="101"/>
      <c r="K44" s="89"/>
    </row>
    <row r="45" spans="1:11" x14ac:dyDescent="0.2">
      <c r="A45" s="89"/>
      <c r="B45" s="117"/>
      <c r="C45" s="89"/>
      <c r="D45" s="89"/>
      <c r="E45" s="94"/>
      <c r="F45" s="89"/>
      <c r="G45" s="94"/>
      <c r="H45" s="94"/>
      <c r="I45" s="88"/>
      <c r="J45" s="101"/>
      <c r="K45" s="89"/>
    </row>
    <row r="46" spans="1:11" x14ac:dyDescent="0.2">
      <c r="A46" s="89"/>
      <c r="B46" s="117"/>
      <c r="C46" s="89"/>
      <c r="D46" s="89"/>
      <c r="E46" s="94"/>
      <c r="F46" s="89"/>
      <c r="G46" s="94"/>
      <c r="H46" s="94"/>
      <c r="I46" s="88"/>
      <c r="J46" s="101"/>
      <c r="K46" s="89"/>
    </row>
    <row r="47" spans="1:11" x14ac:dyDescent="0.2">
      <c r="A47" s="89"/>
      <c r="B47" s="117"/>
      <c r="C47" s="89"/>
      <c r="D47" s="89"/>
      <c r="E47" s="94"/>
      <c r="F47" s="89"/>
      <c r="G47" s="94"/>
      <c r="H47" s="94"/>
      <c r="I47" s="88"/>
      <c r="J47" s="101"/>
      <c r="K47" s="89"/>
    </row>
    <row r="48" spans="1:11" x14ac:dyDescent="0.2">
      <c r="A48" s="89"/>
      <c r="B48" s="117"/>
      <c r="C48" s="89"/>
      <c r="D48" s="89"/>
      <c r="E48" s="94"/>
      <c r="F48" s="89"/>
      <c r="G48" s="94"/>
      <c r="H48" s="94"/>
      <c r="I48" s="88"/>
      <c r="J48" s="101"/>
      <c r="K48" s="89"/>
    </row>
    <row r="49" spans="1:11" x14ac:dyDescent="0.2">
      <c r="A49" s="89"/>
      <c r="B49" s="117"/>
      <c r="C49" s="89"/>
      <c r="D49" s="89"/>
      <c r="E49" s="94"/>
      <c r="F49" s="89"/>
      <c r="G49" s="94"/>
      <c r="H49" s="94"/>
      <c r="I49" s="88"/>
      <c r="J49" s="101"/>
      <c r="K49" s="89"/>
    </row>
    <row r="50" spans="1:11" x14ac:dyDescent="0.2">
      <c r="A50" s="89"/>
      <c r="B50" s="117"/>
      <c r="C50" s="89"/>
      <c r="D50" s="89"/>
      <c r="E50" s="94"/>
      <c r="F50" s="89"/>
      <c r="G50" s="94"/>
      <c r="H50" s="94"/>
      <c r="I50" s="88"/>
      <c r="J50" s="101"/>
      <c r="K50" s="89"/>
    </row>
    <row r="51" spans="1:11" x14ac:dyDescent="0.2">
      <c r="A51" s="89"/>
      <c r="B51" s="117"/>
      <c r="C51" s="89"/>
      <c r="D51" s="89"/>
      <c r="E51" s="94"/>
      <c r="F51" s="89"/>
      <c r="G51" s="94"/>
      <c r="H51" s="94"/>
      <c r="I51" s="88"/>
      <c r="J51" s="101"/>
      <c r="K51" s="89"/>
    </row>
    <row r="52" spans="1:11" x14ac:dyDescent="0.2">
      <c r="A52" s="89"/>
      <c r="B52" s="117"/>
      <c r="C52" s="89"/>
      <c r="D52" s="89"/>
      <c r="E52" s="94"/>
      <c r="F52" s="89"/>
      <c r="G52" s="94"/>
      <c r="H52" s="94"/>
      <c r="I52" s="88"/>
      <c r="J52" s="101"/>
      <c r="K52" s="89"/>
    </row>
    <row r="53" spans="1:11" x14ac:dyDescent="0.2">
      <c r="A53" s="89"/>
      <c r="B53" s="117"/>
      <c r="C53" s="89"/>
      <c r="D53" s="89"/>
      <c r="E53" s="94"/>
      <c r="F53" s="89"/>
      <c r="G53" s="94"/>
      <c r="H53" s="94"/>
      <c r="I53" s="88"/>
      <c r="J53" s="101"/>
      <c r="K53" s="89"/>
    </row>
    <row r="54" spans="1:11" x14ac:dyDescent="0.2">
      <c r="A54" s="89"/>
      <c r="B54" s="117"/>
      <c r="C54" s="89"/>
      <c r="D54" s="89"/>
      <c r="E54" s="94"/>
      <c r="F54" s="89"/>
      <c r="G54" s="94"/>
      <c r="H54" s="94"/>
      <c r="I54" s="88"/>
      <c r="J54" s="101"/>
      <c r="K54" s="89"/>
    </row>
    <row r="55" spans="1:11" x14ac:dyDescent="0.2">
      <c r="A55" s="89"/>
      <c r="B55" s="117"/>
      <c r="C55" s="89"/>
      <c r="D55" s="89"/>
      <c r="E55" s="94"/>
      <c r="F55" s="89"/>
      <c r="G55" s="94"/>
      <c r="H55" s="94"/>
      <c r="I55" s="88"/>
      <c r="J55" s="101"/>
      <c r="K55" s="89"/>
    </row>
    <row r="56" spans="1:11" x14ac:dyDescent="0.2">
      <c r="B56" s="117"/>
    </row>
    <row r="57" spans="1:11" x14ac:dyDescent="0.2">
      <c r="B57" s="117"/>
    </row>
    <row r="58" spans="1:11" x14ac:dyDescent="0.2">
      <c r="B58" s="117"/>
    </row>
    <row r="59" spans="1:11" x14ac:dyDescent="0.2">
      <c r="B59" s="117"/>
    </row>
    <row r="60" spans="1:11" x14ac:dyDescent="0.2">
      <c r="B60" s="117"/>
    </row>
    <row r="61" spans="1:11" x14ac:dyDescent="0.2">
      <c r="B61" s="117"/>
    </row>
    <row r="62" spans="1:11" x14ac:dyDescent="0.2">
      <c r="B62" s="117"/>
    </row>
    <row r="63" spans="1:11" x14ac:dyDescent="0.2">
      <c r="B63" s="117"/>
    </row>
    <row r="64" spans="1:11" x14ac:dyDescent="0.2">
      <c r="B64" s="117"/>
    </row>
  </sheetData>
  <mergeCells count="2">
    <mergeCell ref="A1:K1"/>
    <mergeCell ref="C5:I5"/>
  </mergeCells>
  <pageMargins left="0.23" right="0.16" top="0.28000000000000003" bottom="0.28000000000000003" header="0.26" footer="0.25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99"/>
  <sheetViews>
    <sheetView workbookViewId="0"/>
  </sheetViews>
  <sheetFormatPr defaultRowHeight="12.75" x14ac:dyDescent="0.2"/>
  <cols>
    <col min="1" max="1" width="6.140625" customWidth="1"/>
    <col min="2" max="2" width="18.28515625" customWidth="1"/>
    <col min="3" max="3" width="4.42578125" customWidth="1"/>
    <col min="4" max="4" width="5.42578125" style="5" customWidth="1"/>
    <col min="5" max="8" width="8.7109375" style="65" customWidth="1"/>
    <col min="9" max="9" width="8.7109375" style="55" customWidth="1"/>
    <col min="10" max="16" width="8.7109375" style="65" customWidth="1"/>
    <col min="17" max="17" width="11.85546875" style="5" customWidth="1"/>
    <col min="18" max="18" width="12.7109375" style="5" customWidth="1"/>
    <col min="19" max="19" width="14" customWidth="1"/>
    <col min="20" max="20" width="8.85546875" customWidth="1"/>
    <col min="21" max="21" width="7.28515625" customWidth="1"/>
    <col min="22" max="22" width="7.5703125" customWidth="1"/>
    <col min="23" max="23" width="6.42578125" customWidth="1"/>
    <col min="24" max="24" width="6.5703125" customWidth="1"/>
    <col min="25" max="25" width="5.5703125" customWidth="1"/>
    <col min="26" max="26" width="5.7109375" customWidth="1"/>
    <col min="27" max="27" width="6" customWidth="1"/>
    <col min="29" max="29" width="11" customWidth="1"/>
  </cols>
  <sheetData>
    <row r="1" spans="1:29" ht="18.75" x14ac:dyDescent="0.3">
      <c r="A1" s="26"/>
      <c r="B1" s="27"/>
      <c r="C1" s="27"/>
      <c r="D1" s="68" t="s">
        <v>18</v>
      </c>
      <c r="E1" s="363"/>
      <c r="F1" s="363"/>
      <c r="G1" s="363"/>
      <c r="H1" s="363"/>
      <c r="I1" s="364"/>
      <c r="J1" s="365"/>
      <c r="K1" s="365"/>
      <c r="L1" s="365"/>
      <c r="M1" s="365"/>
      <c r="N1" s="365"/>
      <c r="O1" s="365"/>
      <c r="P1" s="365"/>
      <c r="Q1" s="28"/>
      <c r="R1" s="28"/>
      <c r="S1" s="41"/>
    </row>
    <row r="2" spans="1:29" ht="16.5" customHeight="1" x14ac:dyDescent="0.3">
      <c r="A2" s="29"/>
      <c r="B2" s="21" t="s">
        <v>11</v>
      </c>
      <c r="C2" s="19"/>
      <c r="D2" s="20"/>
      <c r="E2" s="61"/>
      <c r="F2" s="61"/>
      <c r="G2" s="61"/>
      <c r="H2" s="61"/>
      <c r="I2" s="50"/>
      <c r="J2" s="61"/>
      <c r="K2" s="61"/>
      <c r="L2" s="61"/>
      <c r="M2" s="61"/>
      <c r="N2" s="61"/>
      <c r="O2" s="61"/>
      <c r="P2" s="61"/>
      <c r="Q2" s="20"/>
      <c r="R2" s="20"/>
      <c r="S2" s="30" t="s">
        <v>8</v>
      </c>
    </row>
    <row r="3" spans="1:29" ht="15.75" customHeight="1" x14ac:dyDescent="0.2">
      <c r="A3" s="29"/>
      <c r="B3" s="19"/>
      <c r="C3" s="19"/>
      <c r="D3" s="22" t="s">
        <v>125</v>
      </c>
      <c r="E3" s="366"/>
      <c r="F3" s="366"/>
      <c r="G3" s="366"/>
      <c r="H3" s="366"/>
      <c r="I3" s="50"/>
      <c r="J3" s="61"/>
      <c r="K3" s="61"/>
      <c r="L3" s="61"/>
      <c r="M3" s="61"/>
      <c r="N3" s="61"/>
      <c r="O3" s="61"/>
      <c r="P3" s="61"/>
      <c r="Q3" s="20"/>
      <c r="R3" s="20"/>
      <c r="S3" s="30" t="s">
        <v>9</v>
      </c>
    </row>
    <row r="4" spans="1:29" ht="15.75" customHeight="1" thickBot="1" x14ac:dyDescent="0.25">
      <c r="A4" s="31"/>
      <c r="B4" s="32"/>
      <c r="C4" s="32"/>
      <c r="D4" s="34"/>
      <c r="E4" s="367"/>
      <c r="F4" s="367"/>
      <c r="G4" s="367"/>
      <c r="H4" s="367"/>
      <c r="I4" s="51"/>
      <c r="J4" s="62"/>
      <c r="K4" s="62"/>
      <c r="L4" s="62"/>
      <c r="M4" s="62"/>
      <c r="N4" s="62"/>
      <c r="O4" s="62"/>
      <c r="P4" s="62"/>
      <c r="Q4" s="33"/>
      <c r="R4" s="33"/>
      <c r="S4" s="42"/>
    </row>
    <row r="5" spans="1:29" ht="15.75" customHeight="1" x14ac:dyDescent="0.2">
      <c r="A5" s="37" t="s">
        <v>3</v>
      </c>
      <c r="B5" s="37" t="s">
        <v>0</v>
      </c>
      <c r="C5" s="37" t="s">
        <v>6</v>
      </c>
      <c r="D5" s="38" t="s">
        <v>1</v>
      </c>
      <c r="E5" s="368"/>
      <c r="F5" s="368"/>
      <c r="G5" s="368"/>
      <c r="H5" s="368"/>
      <c r="I5" s="368"/>
      <c r="J5" s="368"/>
      <c r="K5" s="368"/>
      <c r="L5" s="368"/>
      <c r="M5" s="368"/>
      <c r="N5" s="368"/>
      <c r="O5" s="368"/>
      <c r="P5" s="368"/>
      <c r="Q5" s="38" t="s">
        <v>46</v>
      </c>
      <c r="R5" s="38" t="s">
        <v>17</v>
      </c>
      <c r="S5" s="37" t="s">
        <v>10</v>
      </c>
      <c r="T5" s="455" t="s">
        <v>41</v>
      </c>
      <c r="U5" s="455"/>
      <c r="V5" s="455"/>
      <c r="W5" s="455"/>
      <c r="X5" s="455"/>
      <c r="Y5" s="455"/>
      <c r="Z5" s="455"/>
      <c r="AA5" s="455"/>
      <c r="AB5" s="455"/>
      <c r="AC5" s="455"/>
    </row>
    <row r="6" spans="1:29" ht="15.75" customHeight="1" x14ac:dyDescent="0.2">
      <c r="A6" s="37"/>
      <c r="B6" s="37"/>
      <c r="C6" s="37"/>
      <c r="D6" s="38"/>
      <c r="E6" s="368" t="s">
        <v>23</v>
      </c>
      <c r="F6" s="368" t="s">
        <v>24</v>
      </c>
      <c r="G6" s="368" t="s">
        <v>121</v>
      </c>
      <c r="H6" s="368" t="s">
        <v>26</v>
      </c>
      <c r="I6" s="368" t="s">
        <v>19</v>
      </c>
      <c r="J6" s="368" t="s">
        <v>44</v>
      </c>
      <c r="K6" s="368" t="s">
        <v>21</v>
      </c>
      <c r="L6" s="368" t="s">
        <v>27</v>
      </c>
      <c r="M6" s="368" t="s">
        <v>28</v>
      </c>
      <c r="N6" s="368" t="s">
        <v>37</v>
      </c>
      <c r="O6" s="368" t="s">
        <v>38</v>
      </c>
      <c r="P6" s="368" t="s">
        <v>45</v>
      </c>
      <c r="Q6" s="38" t="s">
        <v>10</v>
      </c>
      <c r="R6" s="38" t="s">
        <v>2</v>
      </c>
      <c r="S6" s="242" t="s">
        <v>30</v>
      </c>
      <c r="T6" s="4" t="s">
        <v>19</v>
      </c>
      <c r="U6" s="4" t="s">
        <v>20</v>
      </c>
      <c r="V6" s="4" t="s">
        <v>21</v>
      </c>
      <c r="W6" s="4" t="s">
        <v>27</v>
      </c>
      <c r="X6" s="4" t="s">
        <v>28</v>
      </c>
      <c r="Y6" s="4" t="s">
        <v>37</v>
      </c>
      <c r="Z6" s="4" t="s">
        <v>38</v>
      </c>
      <c r="AA6" s="243" t="s">
        <v>39</v>
      </c>
      <c r="AB6" s="243" t="s">
        <v>42</v>
      </c>
      <c r="AC6" s="243" t="s">
        <v>43</v>
      </c>
    </row>
    <row r="7" spans="1:29" ht="26.1" customHeight="1" x14ac:dyDescent="0.2">
      <c r="A7" s="2">
        <v>1</v>
      </c>
      <c r="B7" s="1" t="s">
        <v>40</v>
      </c>
      <c r="C7" s="1"/>
      <c r="D7" s="7"/>
      <c r="E7" s="63">
        <v>22000</v>
      </c>
      <c r="F7" s="63"/>
      <c r="G7" s="63"/>
      <c r="H7" s="63"/>
      <c r="I7" s="44"/>
      <c r="J7" s="63"/>
      <c r="K7" s="63">
        <f>J7*12.5/100</f>
        <v>0</v>
      </c>
      <c r="L7" s="63">
        <v>0</v>
      </c>
      <c r="M7" s="63">
        <v>0</v>
      </c>
      <c r="N7" s="63">
        <v>0</v>
      </c>
      <c r="O7" s="63"/>
      <c r="P7" s="63"/>
      <c r="Q7" s="7">
        <f>I7+J7+K7+L7+M7+N7+O7+P7+E7+F7+G7+H7</f>
        <v>22000</v>
      </c>
      <c r="R7" s="7">
        <f>Q7-S7</f>
        <v>22000</v>
      </c>
      <c r="S7" s="2">
        <v>0</v>
      </c>
      <c r="T7" s="18"/>
      <c r="U7" s="18"/>
    </row>
    <row r="8" spans="1:29" ht="26.1" customHeight="1" x14ac:dyDescent="0.2">
      <c r="A8" s="2">
        <v>2</v>
      </c>
      <c r="B8" s="89" t="s">
        <v>126</v>
      </c>
      <c r="C8" s="1"/>
      <c r="D8" s="7"/>
      <c r="E8" s="63">
        <v>7000</v>
      </c>
      <c r="F8" s="63"/>
      <c r="G8" s="63"/>
      <c r="H8" s="63"/>
      <c r="I8" s="44"/>
      <c r="J8" s="63"/>
      <c r="K8" s="63"/>
      <c r="L8" s="63">
        <v>0</v>
      </c>
      <c r="M8" s="63">
        <v>0</v>
      </c>
      <c r="N8" s="63">
        <v>0</v>
      </c>
      <c r="O8" s="63"/>
      <c r="P8" s="63"/>
      <c r="Q8" s="7">
        <f>I8+J8+K8+L8+M8+N8+O8+P8+E8+F8+G8+H8</f>
        <v>7000</v>
      </c>
      <c r="R8" s="7">
        <f>Q8-S8</f>
        <v>7000</v>
      </c>
      <c r="S8" s="2">
        <v>0</v>
      </c>
      <c r="T8" s="2"/>
      <c r="U8" s="2"/>
    </row>
    <row r="9" spans="1:29" ht="26.1" customHeight="1" x14ac:dyDescent="0.2">
      <c r="A9" s="2">
        <v>3</v>
      </c>
      <c r="B9" s="1" t="s">
        <v>86</v>
      </c>
      <c r="C9" s="1"/>
      <c r="D9" s="7"/>
      <c r="E9" s="63">
        <v>9000</v>
      </c>
      <c r="F9" s="63"/>
      <c r="G9" s="63"/>
      <c r="H9" s="63"/>
      <c r="I9" s="44"/>
      <c r="J9" s="63"/>
      <c r="K9" s="63"/>
      <c r="L9" s="63"/>
      <c r="M9" s="63"/>
      <c r="N9" s="63"/>
      <c r="O9" s="63"/>
      <c r="P9" s="63"/>
      <c r="Q9" s="7">
        <f>I9+J9+K9+L9+M9+N9+O9+P9+E9+F9+G9+H9</f>
        <v>9000</v>
      </c>
      <c r="R9" s="7">
        <f>Q9-S9</f>
        <v>9000</v>
      </c>
      <c r="S9" s="2">
        <v>0</v>
      </c>
      <c r="T9" s="2"/>
      <c r="U9" s="2"/>
    </row>
    <row r="10" spans="1:29" ht="26.1" customHeight="1" x14ac:dyDescent="0.2">
      <c r="A10" s="2">
        <v>4</v>
      </c>
      <c r="B10" s="1"/>
      <c r="C10" s="1"/>
      <c r="D10" s="7"/>
      <c r="E10" s="63"/>
      <c r="F10" s="63"/>
      <c r="G10" s="63"/>
      <c r="H10" s="63"/>
      <c r="I10" s="44"/>
      <c r="J10" s="63"/>
      <c r="K10" s="63"/>
      <c r="L10" s="63"/>
      <c r="M10" s="63"/>
      <c r="N10" s="63"/>
      <c r="O10" s="63"/>
      <c r="P10" s="63"/>
      <c r="Q10" s="7"/>
      <c r="R10" s="7"/>
      <c r="S10" s="2"/>
      <c r="T10" s="2"/>
      <c r="U10" s="2"/>
    </row>
    <row r="11" spans="1:29" ht="26.1" customHeight="1" x14ac:dyDescent="0.2">
      <c r="A11" s="2">
        <v>5</v>
      </c>
      <c r="B11" s="3"/>
      <c r="C11" s="1"/>
      <c r="D11" s="8"/>
      <c r="E11" s="369"/>
      <c r="F11" s="369"/>
      <c r="G11" s="369"/>
      <c r="H11" s="369"/>
      <c r="I11" s="44"/>
      <c r="J11" s="369"/>
      <c r="K11" s="63"/>
      <c r="L11" s="63"/>
      <c r="M11" s="369"/>
      <c r="N11" s="63"/>
      <c r="O11" s="63"/>
      <c r="P11" s="63"/>
      <c r="Q11" s="7"/>
      <c r="R11" s="7"/>
      <c r="S11" s="2"/>
      <c r="T11" s="2"/>
      <c r="U11" s="2"/>
    </row>
    <row r="12" spans="1:29" ht="26.1" customHeight="1" x14ac:dyDescent="0.2">
      <c r="A12" s="2">
        <v>6</v>
      </c>
      <c r="B12" s="1"/>
      <c r="C12" s="1"/>
      <c r="D12" s="7"/>
      <c r="E12" s="63"/>
      <c r="F12" s="63"/>
      <c r="G12" s="63"/>
      <c r="H12" s="63"/>
      <c r="I12" s="44"/>
      <c r="J12" s="63"/>
      <c r="K12" s="63"/>
      <c r="L12" s="63"/>
      <c r="M12" s="63"/>
      <c r="N12" s="63"/>
      <c r="O12" s="63"/>
      <c r="P12" s="63"/>
      <c r="Q12" s="7">
        <v>0</v>
      </c>
      <c r="R12" s="7"/>
      <c r="S12" s="2"/>
      <c r="T12" s="2"/>
      <c r="U12" s="2"/>
    </row>
    <row r="13" spans="1:29" ht="26.1" customHeight="1" x14ac:dyDescent="0.2">
      <c r="A13" s="2">
        <v>7</v>
      </c>
      <c r="B13" s="2"/>
      <c r="C13" s="2"/>
      <c r="D13" s="6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6"/>
      <c r="R13" s="7"/>
      <c r="S13" s="2"/>
      <c r="T13" s="2"/>
      <c r="U13" s="2"/>
    </row>
    <row r="14" spans="1:29" ht="26.1" customHeight="1" x14ac:dyDescent="0.2">
      <c r="A14" s="2">
        <v>8</v>
      </c>
      <c r="B14" s="2"/>
      <c r="C14" s="2"/>
      <c r="D14" s="6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6"/>
      <c r="R14" s="7"/>
      <c r="S14" s="2"/>
      <c r="T14" s="2"/>
      <c r="U14" s="2"/>
    </row>
    <row r="15" spans="1:29" ht="26.1" customHeight="1" x14ac:dyDescent="0.2">
      <c r="A15" s="2">
        <v>9</v>
      </c>
      <c r="B15" s="2"/>
      <c r="C15" s="2"/>
      <c r="D15" s="6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6"/>
      <c r="R15" s="7"/>
      <c r="S15" s="2"/>
      <c r="T15" s="2"/>
      <c r="U15" s="2"/>
    </row>
    <row r="16" spans="1:29" ht="26.1" customHeight="1" x14ac:dyDescent="0.2">
      <c r="A16" s="2">
        <v>10</v>
      </c>
      <c r="B16" s="2"/>
      <c r="C16" s="2"/>
      <c r="D16" s="6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6"/>
      <c r="R16" s="7"/>
      <c r="S16" s="2"/>
      <c r="T16" s="2"/>
      <c r="U16" s="2"/>
    </row>
    <row r="17" spans="1:21" ht="26.1" customHeight="1" x14ac:dyDescent="0.2">
      <c r="A17" s="2">
        <v>11</v>
      </c>
      <c r="B17" s="2"/>
      <c r="C17" s="2"/>
      <c r="D17" s="6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6"/>
      <c r="R17" s="7"/>
      <c r="S17" s="2"/>
      <c r="T17" s="6"/>
      <c r="U17" s="2"/>
    </row>
    <row r="18" spans="1:21" ht="26.1" customHeight="1" x14ac:dyDescent="0.2">
      <c r="A18" s="2">
        <v>12</v>
      </c>
      <c r="B18" s="2"/>
      <c r="C18" s="2"/>
      <c r="D18" s="6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6"/>
      <c r="R18" s="7"/>
      <c r="S18" s="2"/>
      <c r="T18" s="2"/>
      <c r="U18" s="2"/>
    </row>
    <row r="19" spans="1:21" ht="26.1" customHeight="1" x14ac:dyDescent="0.2">
      <c r="A19" s="2">
        <v>13</v>
      </c>
      <c r="B19" s="2"/>
      <c r="C19" s="2"/>
      <c r="D19" s="6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6"/>
      <c r="R19" s="7"/>
      <c r="S19" s="2"/>
      <c r="T19" s="2"/>
      <c r="U19" s="2"/>
    </row>
    <row r="20" spans="1:21" ht="26.1" customHeight="1" x14ac:dyDescent="0.2">
      <c r="A20" s="2">
        <v>14</v>
      </c>
      <c r="B20" s="2"/>
      <c r="C20" s="2"/>
      <c r="D20" s="6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6"/>
      <c r="R20" s="7"/>
      <c r="S20" s="2"/>
      <c r="T20" s="2"/>
      <c r="U20" s="2"/>
    </row>
    <row r="21" spans="1:21" ht="26.1" customHeight="1" x14ac:dyDescent="0.2">
      <c r="A21" s="2">
        <v>15</v>
      </c>
      <c r="B21" s="2"/>
      <c r="C21" s="2"/>
      <c r="D21" s="6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6"/>
      <c r="R21" s="7"/>
      <c r="S21" s="2"/>
      <c r="T21" s="2"/>
      <c r="U21" s="2"/>
    </row>
    <row r="22" spans="1:21" ht="26.1" customHeight="1" x14ac:dyDescent="0.2">
      <c r="A22" s="2">
        <v>16</v>
      </c>
      <c r="B22" s="2"/>
      <c r="C22" s="2"/>
      <c r="D22" s="6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6"/>
      <c r="R22" s="7"/>
      <c r="S22" s="2"/>
      <c r="T22" s="2"/>
      <c r="U22" s="2"/>
    </row>
    <row r="23" spans="1:21" ht="26.1" customHeight="1" x14ac:dyDescent="0.2">
      <c r="A23" s="2">
        <v>17</v>
      </c>
      <c r="B23" s="2"/>
      <c r="C23" s="2"/>
      <c r="D23" s="6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6"/>
      <c r="R23" s="7"/>
      <c r="S23" s="2"/>
      <c r="T23" s="2"/>
      <c r="U23" s="2"/>
    </row>
    <row r="24" spans="1:21" ht="26.1" customHeight="1" x14ac:dyDescent="0.25">
      <c r="A24" s="2"/>
      <c r="B24" s="17" t="s">
        <v>10</v>
      </c>
      <c r="C24" s="12"/>
      <c r="D24" s="13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13"/>
      <c r="R24" s="16">
        <f>SUM(R7:R23)</f>
        <v>38000</v>
      </c>
      <c r="S24" s="12"/>
      <c r="T24" s="2"/>
      <c r="U24" s="2"/>
    </row>
    <row r="25" spans="1:21" ht="26.1" customHeight="1" x14ac:dyDescent="0.2">
      <c r="A25" s="1"/>
      <c r="B25" s="1"/>
      <c r="C25" s="1"/>
      <c r="D25" s="7"/>
      <c r="E25" s="63"/>
      <c r="F25" s="63"/>
      <c r="G25" s="63"/>
      <c r="H25" s="63"/>
      <c r="I25" s="44"/>
      <c r="J25" s="63"/>
      <c r="K25" s="63"/>
      <c r="L25" s="63"/>
      <c r="M25" s="63"/>
      <c r="N25" s="63"/>
      <c r="O25" s="63"/>
      <c r="P25" s="63"/>
      <c r="Q25" s="7"/>
      <c r="R25" s="7"/>
      <c r="S25" s="1"/>
      <c r="T25" s="1"/>
      <c r="U25" s="1"/>
    </row>
    <row r="26" spans="1:21" ht="26.1" customHeight="1" x14ac:dyDescent="0.2">
      <c r="A26" s="1"/>
      <c r="B26" s="1"/>
      <c r="C26" s="1"/>
      <c r="D26" s="7"/>
      <c r="E26" s="63"/>
      <c r="F26" s="63"/>
      <c r="G26" s="63"/>
      <c r="H26" s="63"/>
      <c r="I26" s="44"/>
      <c r="J26" s="63"/>
      <c r="K26" s="63"/>
      <c r="L26" s="63"/>
      <c r="M26" s="63"/>
      <c r="N26" s="63"/>
      <c r="O26" s="63"/>
      <c r="P26" s="63"/>
      <c r="Q26" s="7"/>
      <c r="R26" s="7"/>
      <c r="S26" s="1"/>
      <c r="T26" s="1"/>
      <c r="U26" s="1"/>
    </row>
    <row r="27" spans="1:21" ht="26.1" customHeight="1" x14ac:dyDescent="0.2">
      <c r="A27" s="1"/>
      <c r="B27" s="1"/>
      <c r="C27" s="1"/>
      <c r="D27" s="7"/>
      <c r="E27" s="63"/>
      <c r="F27" s="63"/>
      <c r="G27" s="63"/>
      <c r="H27" s="63"/>
      <c r="I27" s="44"/>
      <c r="J27" s="63"/>
      <c r="K27" s="63"/>
      <c r="L27" s="63"/>
      <c r="M27" s="63"/>
      <c r="N27" s="63"/>
      <c r="O27" s="63"/>
      <c r="P27" s="63"/>
      <c r="Q27" s="7"/>
      <c r="R27" s="7"/>
      <c r="S27" s="1"/>
      <c r="T27" s="1"/>
      <c r="U27" s="1"/>
    </row>
    <row r="28" spans="1:21" ht="26.1" customHeight="1" x14ac:dyDescent="0.2">
      <c r="A28" s="1"/>
      <c r="B28" s="1"/>
      <c r="C28" s="1"/>
      <c r="D28" s="7"/>
      <c r="E28" s="63"/>
      <c r="F28" s="63"/>
      <c r="G28" s="63"/>
      <c r="H28" s="63"/>
      <c r="I28" s="44"/>
      <c r="J28" s="63"/>
      <c r="K28" s="63"/>
      <c r="L28" s="63"/>
      <c r="M28" s="63"/>
      <c r="N28" s="63"/>
      <c r="O28" s="63"/>
      <c r="P28" s="63"/>
      <c r="Q28" s="7"/>
      <c r="R28" s="7"/>
      <c r="S28" s="1"/>
      <c r="T28" s="1"/>
      <c r="U28" s="1"/>
    </row>
    <row r="29" spans="1:21" ht="26.1" customHeight="1" x14ac:dyDescent="0.2">
      <c r="A29" s="3"/>
      <c r="B29" s="3"/>
      <c r="C29" s="3"/>
      <c r="D29" s="8"/>
      <c r="E29" s="369"/>
      <c r="F29" s="369"/>
      <c r="G29" s="369"/>
      <c r="H29" s="369"/>
      <c r="I29" s="370"/>
      <c r="J29" s="369"/>
      <c r="K29" s="369"/>
      <c r="L29" s="369"/>
      <c r="M29" s="369"/>
      <c r="N29" s="369"/>
      <c r="O29" s="369"/>
      <c r="P29" s="369"/>
      <c r="Q29" s="8"/>
      <c r="R29" s="8"/>
      <c r="S29" s="3"/>
      <c r="T29" s="3"/>
      <c r="U29" s="3"/>
    </row>
    <row r="30" spans="1:21" ht="26.1" customHeight="1" x14ac:dyDescent="0.2">
      <c r="A30" s="1"/>
      <c r="B30" s="1"/>
      <c r="C30" s="1"/>
      <c r="D30" s="7"/>
      <c r="E30" s="63"/>
      <c r="F30" s="63"/>
      <c r="G30" s="63"/>
      <c r="H30" s="63"/>
      <c r="I30" s="44"/>
      <c r="J30" s="63"/>
      <c r="K30" s="63"/>
      <c r="L30" s="63"/>
      <c r="M30" s="63"/>
      <c r="N30" s="63"/>
      <c r="O30" s="63"/>
      <c r="P30" s="63"/>
      <c r="Q30" s="7"/>
      <c r="R30" s="7"/>
      <c r="S30" s="1"/>
      <c r="T30" s="1"/>
      <c r="U30" s="1"/>
    </row>
    <row r="31" spans="1:21" ht="26.1" customHeight="1" x14ac:dyDescent="0.2">
      <c r="A31" s="1"/>
      <c r="B31" s="1"/>
      <c r="C31" s="1"/>
      <c r="D31" s="7"/>
      <c r="E31" s="63"/>
      <c r="F31" s="63"/>
      <c r="G31" s="63"/>
      <c r="H31" s="63"/>
      <c r="I31" s="44"/>
      <c r="J31" s="63"/>
      <c r="K31" s="63"/>
      <c r="L31" s="63"/>
      <c r="M31" s="63"/>
      <c r="N31" s="63"/>
      <c r="O31" s="63"/>
      <c r="P31" s="63"/>
      <c r="Q31" s="7"/>
      <c r="R31" s="7"/>
      <c r="S31" s="1"/>
      <c r="T31" s="1"/>
      <c r="U31" s="1"/>
    </row>
    <row r="32" spans="1:21" ht="26.1" customHeight="1" x14ac:dyDescent="0.2">
      <c r="A32" s="4"/>
      <c r="B32" s="4"/>
      <c r="C32" s="4"/>
      <c r="D32" s="9"/>
      <c r="E32" s="371"/>
      <c r="F32" s="371"/>
      <c r="G32" s="371"/>
      <c r="H32" s="371"/>
      <c r="I32" s="272"/>
      <c r="J32" s="371"/>
      <c r="K32" s="371"/>
      <c r="L32" s="371"/>
      <c r="M32" s="371"/>
      <c r="N32" s="371"/>
      <c r="O32" s="371"/>
      <c r="P32" s="371"/>
      <c r="Q32" s="9"/>
      <c r="R32" s="9"/>
      <c r="S32" s="4"/>
      <c r="T32" s="4"/>
      <c r="U32" s="4"/>
    </row>
    <row r="33" spans="1:21" ht="26.1" customHeight="1" x14ac:dyDescent="0.2">
      <c r="A33" s="1"/>
      <c r="B33" s="1"/>
      <c r="C33" s="1"/>
      <c r="D33" s="7"/>
      <c r="E33" s="63"/>
      <c r="F33" s="63"/>
      <c r="G33" s="63"/>
      <c r="H33" s="63"/>
      <c r="I33" s="44"/>
      <c r="J33" s="63"/>
      <c r="K33" s="63"/>
      <c r="L33" s="63"/>
      <c r="M33" s="63"/>
      <c r="N33" s="63"/>
      <c r="O33" s="63"/>
      <c r="P33" s="63"/>
      <c r="Q33" s="7"/>
      <c r="R33" s="7"/>
      <c r="S33" s="1"/>
      <c r="T33" s="1"/>
      <c r="U33" s="1"/>
    </row>
    <row r="34" spans="1:21" ht="26.1" customHeight="1" x14ac:dyDescent="0.2">
      <c r="A34" s="1"/>
      <c r="B34" s="1"/>
      <c r="C34" s="1"/>
      <c r="D34" s="7"/>
      <c r="E34" s="63"/>
      <c r="F34" s="63"/>
      <c r="G34" s="63"/>
      <c r="H34" s="63"/>
      <c r="I34" s="44"/>
      <c r="J34" s="63"/>
      <c r="K34" s="63"/>
      <c r="L34" s="63"/>
      <c r="M34" s="63"/>
      <c r="N34" s="63"/>
      <c r="O34" s="63"/>
      <c r="P34" s="63"/>
      <c r="Q34" s="7"/>
      <c r="R34" s="7"/>
      <c r="S34" s="1"/>
      <c r="T34" s="1"/>
      <c r="U34" s="1"/>
    </row>
    <row r="35" spans="1:21" ht="26.1" customHeight="1" x14ac:dyDescent="0.2">
      <c r="A35" s="1"/>
      <c r="B35" s="1"/>
      <c r="C35" s="1"/>
      <c r="D35" s="7"/>
      <c r="E35" s="63"/>
      <c r="F35" s="63"/>
      <c r="G35" s="63"/>
      <c r="H35" s="63"/>
      <c r="I35" s="44"/>
      <c r="J35" s="63"/>
      <c r="K35" s="63"/>
      <c r="L35" s="63"/>
      <c r="M35" s="63"/>
      <c r="N35" s="63"/>
      <c r="O35" s="63"/>
      <c r="P35" s="63"/>
      <c r="Q35" s="7"/>
      <c r="R35" s="7"/>
      <c r="S35" s="1"/>
      <c r="T35" s="1"/>
      <c r="U35" s="1"/>
    </row>
    <row r="36" spans="1:21" ht="26.1" customHeight="1" x14ac:dyDescent="0.2">
      <c r="A36" s="1"/>
      <c r="B36" s="1"/>
      <c r="C36" s="1"/>
      <c r="D36" s="7"/>
      <c r="E36" s="63"/>
      <c r="F36" s="63"/>
      <c r="G36" s="63"/>
      <c r="H36" s="63"/>
      <c r="I36" s="44"/>
      <c r="J36" s="63"/>
      <c r="K36" s="63"/>
      <c r="L36" s="63"/>
      <c r="M36" s="63"/>
      <c r="N36" s="63"/>
      <c r="O36" s="63"/>
      <c r="P36" s="63"/>
      <c r="Q36" s="7"/>
      <c r="R36" s="7"/>
      <c r="S36" s="1"/>
      <c r="T36" s="1"/>
      <c r="U36" s="1"/>
    </row>
    <row r="37" spans="1:21" ht="26.1" customHeight="1" x14ac:dyDescent="0.2">
      <c r="A37" s="1"/>
      <c r="B37" s="1"/>
      <c r="C37" s="1"/>
      <c r="D37" s="7"/>
      <c r="E37" s="63"/>
      <c r="F37" s="63"/>
      <c r="G37" s="63"/>
      <c r="H37" s="63"/>
      <c r="I37" s="44"/>
      <c r="J37" s="63"/>
      <c r="K37" s="63"/>
      <c r="L37" s="63"/>
      <c r="M37" s="63"/>
      <c r="N37" s="63"/>
      <c r="O37" s="63"/>
      <c r="P37" s="63"/>
      <c r="Q37" s="7"/>
      <c r="R37" s="7"/>
      <c r="S37" s="1"/>
      <c r="T37" s="1"/>
      <c r="U37" s="1"/>
    </row>
    <row r="38" spans="1:21" ht="26.1" customHeight="1" x14ac:dyDescent="0.2">
      <c r="A38" s="1"/>
      <c r="B38" s="1"/>
      <c r="C38" s="1"/>
      <c r="D38" s="7"/>
      <c r="E38" s="63"/>
      <c r="F38" s="63"/>
      <c r="G38" s="63"/>
      <c r="H38" s="63"/>
      <c r="I38" s="44"/>
      <c r="J38" s="63"/>
      <c r="K38" s="63"/>
      <c r="L38" s="63"/>
      <c r="M38" s="63"/>
      <c r="N38" s="63"/>
      <c r="O38" s="63"/>
      <c r="P38" s="63"/>
      <c r="Q38" s="7"/>
      <c r="R38" s="7"/>
      <c r="S38" s="1"/>
      <c r="T38" s="1"/>
      <c r="U38" s="1"/>
    </row>
    <row r="39" spans="1:21" ht="26.1" customHeight="1" x14ac:dyDescent="0.2">
      <c r="A39" s="1"/>
      <c r="B39" s="1"/>
      <c r="C39" s="1"/>
      <c r="D39" s="7"/>
      <c r="E39" s="63"/>
      <c r="F39" s="63"/>
      <c r="G39" s="63"/>
      <c r="H39" s="63"/>
      <c r="I39" s="44"/>
      <c r="J39" s="63"/>
      <c r="K39" s="63"/>
      <c r="L39" s="63"/>
      <c r="M39" s="63"/>
      <c r="N39" s="63"/>
      <c r="O39" s="63"/>
      <c r="P39" s="63"/>
      <c r="Q39" s="7"/>
      <c r="R39" s="7"/>
      <c r="S39" s="1"/>
      <c r="T39" s="1"/>
      <c r="U39" s="1"/>
    </row>
    <row r="40" spans="1:21" ht="26.1" customHeight="1" x14ac:dyDescent="0.2">
      <c r="A40" s="1"/>
      <c r="B40" s="1"/>
      <c r="C40" s="1"/>
      <c r="D40" s="7"/>
      <c r="E40" s="63"/>
      <c r="F40" s="63"/>
      <c r="G40" s="63"/>
      <c r="H40" s="63"/>
      <c r="I40" s="44"/>
      <c r="J40" s="63"/>
      <c r="K40" s="63"/>
      <c r="L40" s="63"/>
      <c r="M40" s="63"/>
      <c r="N40" s="63"/>
      <c r="O40" s="63"/>
      <c r="P40" s="63"/>
      <c r="Q40" s="7"/>
      <c r="R40" s="7"/>
      <c r="S40" s="1"/>
      <c r="T40" s="1"/>
      <c r="U40" s="1"/>
    </row>
    <row r="41" spans="1:21" ht="26.1" customHeight="1" x14ac:dyDescent="0.2">
      <c r="A41" s="1"/>
      <c r="B41" s="1"/>
      <c r="C41" s="1"/>
      <c r="D41" s="7"/>
      <c r="E41" s="63"/>
      <c r="F41" s="63"/>
      <c r="G41" s="63"/>
      <c r="H41" s="63"/>
      <c r="I41" s="44"/>
      <c r="J41" s="63"/>
      <c r="K41" s="63"/>
      <c r="L41" s="63"/>
      <c r="M41" s="63"/>
      <c r="N41" s="63"/>
      <c r="O41" s="63"/>
      <c r="P41" s="63"/>
      <c r="Q41" s="7"/>
      <c r="R41" s="7"/>
      <c r="S41" s="1"/>
      <c r="T41" s="1"/>
      <c r="U41" s="1"/>
    </row>
    <row r="42" spans="1:21" ht="26.1" customHeight="1" x14ac:dyDescent="0.2">
      <c r="A42" s="1"/>
      <c r="B42" s="1"/>
      <c r="C42" s="1"/>
      <c r="D42" s="7"/>
      <c r="E42" s="63"/>
      <c r="F42" s="63"/>
      <c r="G42" s="63"/>
      <c r="H42" s="63"/>
      <c r="I42" s="44"/>
      <c r="J42" s="63"/>
      <c r="K42" s="63"/>
      <c r="L42" s="63"/>
      <c r="M42" s="63"/>
      <c r="N42" s="63"/>
      <c r="O42" s="63"/>
      <c r="P42" s="63"/>
      <c r="Q42" s="7"/>
      <c r="R42" s="7"/>
      <c r="S42" s="1"/>
      <c r="T42" s="1"/>
      <c r="U42" s="1"/>
    </row>
    <row r="43" spans="1:21" ht="26.1" customHeight="1" x14ac:dyDescent="0.2">
      <c r="A43" s="1"/>
      <c r="B43" s="1"/>
      <c r="C43" s="1"/>
      <c r="D43" s="7"/>
      <c r="E43" s="63"/>
      <c r="F43" s="63"/>
      <c r="G43" s="63"/>
      <c r="H43" s="63"/>
      <c r="I43" s="44"/>
      <c r="J43" s="63"/>
      <c r="K43" s="63"/>
      <c r="L43" s="63"/>
      <c r="M43" s="63"/>
      <c r="N43" s="63"/>
      <c r="O43" s="63"/>
      <c r="P43" s="63"/>
      <c r="Q43" s="7"/>
      <c r="R43" s="7"/>
      <c r="S43" s="1"/>
      <c r="T43" s="1"/>
      <c r="U43" s="1"/>
    </row>
    <row r="44" spans="1:21" ht="26.1" customHeight="1" x14ac:dyDescent="0.2">
      <c r="A44" s="1"/>
      <c r="B44" s="1"/>
      <c r="C44" s="1"/>
      <c r="D44" s="7"/>
      <c r="E44" s="63"/>
      <c r="F44" s="63"/>
      <c r="G44" s="63"/>
      <c r="H44" s="63"/>
      <c r="I44" s="44"/>
      <c r="J44" s="63"/>
      <c r="K44" s="63"/>
      <c r="L44" s="63"/>
      <c r="M44" s="63"/>
      <c r="N44" s="63"/>
      <c r="O44" s="63"/>
      <c r="P44" s="63"/>
      <c r="Q44" s="7"/>
      <c r="R44" s="7"/>
      <c r="S44" s="1"/>
      <c r="T44" s="1"/>
      <c r="U44" s="1"/>
    </row>
    <row r="45" spans="1:21" ht="26.1" customHeight="1" x14ac:dyDescent="0.2">
      <c r="A45" s="1"/>
      <c r="B45" s="1"/>
      <c r="C45" s="1"/>
      <c r="D45" s="7"/>
      <c r="E45" s="63"/>
      <c r="F45" s="63"/>
      <c r="G45" s="63"/>
      <c r="H45" s="63"/>
      <c r="I45" s="44"/>
      <c r="J45" s="63"/>
      <c r="K45" s="63"/>
      <c r="L45" s="63"/>
      <c r="M45" s="63"/>
      <c r="N45" s="63"/>
      <c r="O45" s="63"/>
      <c r="P45" s="63"/>
      <c r="Q45" s="7"/>
      <c r="R45" s="7"/>
      <c r="S45" s="1"/>
      <c r="T45" s="1"/>
      <c r="U45" s="1"/>
    </row>
    <row r="46" spans="1:21" ht="26.1" customHeight="1" x14ac:dyDescent="0.2">
      <c r="A46" s="1"/>
      <c r="B46" s="1"/>
      <c r="C46" s="1"/>
      <c r="D46" s="7"/>
      <c r="E46" s="63"/>
      <c r="F46" s="63"/>
      <c r="G46" s="63"/>
      <c r="H46" s="63"/>
      <c r="I46" s="44"/>
      <c r="J46" s="63"/>
      <c r="K46" s="63"/>
      <c r="L46" s="63"/>
      <c r="M46" s="63"/>
      <c r="N46" s="63"/>
      <c r="O46" s="63"/>
      <c r="P46" s="63"/>
      <c r="Q46" s="7"/>
      <c r="R46" s="7"/>
      <c r="S46" s="1"/>
      <c r="T46" s="1"/>
      <c r="U46" s="1"/>
    </row>
    <row r="47" spans="1:21" ht="26.1" customHeight="1" x14ac:dyDescent="0.2">
      <c r="A47" s="1"/>
      <c r="B47" s="1"/>
      <c r="C47" s="1"/>
      <c r="D47" s="7"/>
      <c r="E47" s="63"/>
      <c r="F47" s="63"/>
      <c r="G47" s="63"/>
      <c r="H47" s="63"/>
      <c r="I47" s="44"/>
      <c r="J47" s="63"/>
      <c r="K47" s="63"/>
      <c r="L47" s="63"/>
      <c r="M47" s="63"/>
      <c r="N47" s="63"/>
      <c r="O47" s="63"/>
      <c r="P47" s="63"/>
      <c r="Q47" s="7"/>
      <c r="R47" s="7"/>
      <c r="S47" s="1"/>
      <c r="T47" s="1"/>
      <c r="U47" s="1"/>
    </row>
    <row r="48" spans="1:21" ht="26.1" customHeight="1" x14ac:dyDescent="0.2">
      <c r="A48" s="1"/>
      <c r="B48" s="1"/>
      <c r="C48" s="1"/>
      <c r="D48" s="7"/>
      <c r="E48" s="63"/>
      <c r="F48" s="63"/>
      <c r="G48" s="63"/>
      <c r="H48" s="63"/>
      <c r="I48" s="44"/>
      <c r="J48" s="63"/>
      <c r="K48" s="63"/>
      <c r="L48" s="63"/>
      <c r="M48" s="63"/>
      <c r="N48" s="63"/>
      <c r="O48" s="63"/>
      <c r="P48" s="63"/>
      <c r="Q48" s="7"/>
      <c r="R48" s="7"/>
      <c r="S48" s="1"/>
      <c r="T48" s="1"/>
      <c r="U48" s="1"/>
    </row>
    <row r="49" spans="1:21" ht="26.1" customHeight="1" x14ac:dyDescent="0.2">
      <c r="A49" s="1"/>
      <c r="B49" s="1"/>
      <c r="C49" s="1"/>
      <c r="D49" s="7"/>
      <c r="E49" s="63"/>
      <c r="F49" s="63"/>
      <c r="G49" s="63"/>
      <c r="H49" s="63"/>
      <c r="I49" s="44"/>
      <c r="J49" s="63"/>
      <c r="K49" s="63"/>
      <c r="L49" s="63"/>
      <c r="M49" s="63"/>
      <c r="N49" s="63"/>
      <c r="O49" s="63"/>
      <c r="P49" s="63"/>
      <c r="Q49" s="7"/>
      <c r="R49" s="7"/>
      <c r="S49" s="1"/>
      <c r="T49" s="1"/>
      <c r="U49" s="1"/>
    </row>
    <row r="50" spans="1:21" ht="26.1" customHeight="1" x14ac:dyDescent="0.2">
      <c r="A50" s="1"/>
      <c r="B50" s="1"/>
      <c r="C50" s="1"/>
      <c r="D50" s="7"/>
      <c r="E50" s="63"/>
      <c r="F50" s="63"/>
      <c r="G50" s="63"/>
      <c r="H50" s="63"/>
      <c r="I50" s="44"/>
      <c r="J50" s="63"/>
      <c r="K50" s="63"/>
      <c r="L50" s="63"/>
      <c r="M50" s="63"/>
      <c r="N50" s="63"/>
      <c r="O50" s="63"/>
      <c r="P50" s="63"/>
      <c r="Q50" s="7"/>
      <c r="R50" s="7"/>
      <c r="S50" s="1"/>
      <c r="T50" s="1"/>
      <c r="U50" s="1"/>
    </row>
    <row r="51" spans="1:21" ht="26.1" customHeight="1" x14ac:dyDescent="0.2">
      <c r="A51" s="1"/>
      <c r="B51" s="1"/>
      <c r="C51" s="1"/>
      <c r="D51" s="7"/>
      <c r="E51" s="63"/>
      <c r="F51" s="63"/>
      <c r="G51" s="63"/>
      <c r="H51" s="63"/>
      <c r="I51" s="44"/>
      <c r="J51" s="63"/>
      <c r="K51" s="63"/>
      <c r="L51" s="63"/>
      <c r="M51" s="63"/>
      <c r="N51" s="63"/>
      <c r="O51" s="63"/>
      <c r="P51" s="63"/>
      <c r="Q51" s="7"/>
      <c r="R51" s="7"/>
      <c r="S51" s="1"/>
      <c r="T51" s="1"/>
      <c r="U51" s="1"/>
    </row>
    <row r="52" spans="1:21" ht="26.1" customHeight="1" x14ac:dyDescent="0.2">
      <c r="A52" s="1"/>
      <c r="B52" s="1"/>
      <c r="C52" s="1"/>
      <c r="D52" s="7"/>
      <c r="E52" s="63"/>
      <c r="F52" s="63"/>
      <c r="G52" s="63"/>
      <c r="H52" s="63"/>
      <c r="I52" s="44"/>
      <c r="J52" s="63"/>
      <c r="K52" s="63"/>
      <c r="L52" s="63"/>
      <c r="M52" s="63"/>
      <c r="N52" s="63"/>
      <c r="O52" s="63"/>
      <c r="P52" s="63"/>
      <c r="Q52" s="7"/>
      <c r="R52" s="7"/>
      <c r="S52" s="1"/>
      <c r="T52" s="1"/>
      <c r="U52" s="1"/>
    </row>
    <row r="53" spans="1:21" ht="26.1" customHeight="1" x14ac:dyDescent="0.2">
      <c r="A53" s="1"/>
      <c r="B53" s="1"/>
      <c r="C53" s="1"/>
      <c r="D53" s="7"/>
      <c r="E53" s="63"/>
      <c r="F53" s="63"/>
      <c r="G53" s="63"/>
      <c r="H53" s="63"/>
      <c r="I53" s="44"/>
      <c r="J53" s="63"/>
      <c r="K53" s="63"/>
      <c r="L53" s="63"/>
      <c r="M53" s="63"/>
      <c r="N53" s="63"/>
      <c r="O53" s="63"/>
      <c r="P53" s="63"/>
      <c r="Q53" s="7"/>
      <c r="R53" s="7"/>
      <c r="S53" s="1"/>
      <c r="T53" s="1"/>
      <c r="U53" s="1"/>
    </row>
    <row r="54" spans="1:21" ht="26.1" customHeight="1" x14ac:dyDescent="0.2">
      <c r="A54" s="1"/>
      <c r="B54" s="1"/>
      <c r="C54" s="1"/>
      <c r="D54" s="7"/>
      <c r="E54" s="63"/>
      <c r="F54" s="63"/>
      <c r="G54" s="63"/>
      <c r="H54" s="63"/>
      <c r="I54" s="44"/>
      <c r="J54" s="63"/>
      <c r="K54" s="63"/>
      <c r="L54" s="63"/>
      <c r="M54" s="63"/>
      <c r="N54" s="63"/>
      <c r="O54" s="63"/>
      <c r="P54" s="63"/>
      <c r="Q54" s="7"/>
      <c r="R54" s="7"/>
      <c r="S54" s="1"/>
      <c r="T54" s="1"/>
      <c r="U54" s="1"/>
    </row>
    <row r="55" spans="1:21" ht="26.1" customHeight="1" x14ac:dyDescent="0.2">
      <c r="A55" s="1"/>
      <c r="B55" s="1"/>
      <c r="C55" s="1"/>
      <c r="D55" s="7"/>
      <c r="E55" s="63"/>
      <c r="F55" s="63"/>
      <c r="G55" s="63"/>
      <c r="H55" s="63"/>
      <c r="I55" s="44"/>
      <c r="J55" s="63"/>
      <c r="K55" s="63"/>
      <c r="L55" s="63"/>
      <c r="M55" s="63"/>
      <c r="N55" s="63"/>
      <c r="O55" s="63"/>
      <c r="P55" s="63"/>
      <c r="Q55" s="7"/>
      <c r="R55" s="7"/>
      <c r="S55" s="1"/>
      <c r="T55" s="1"/>
      <c r="U55" s="1"/>
    </row>
    <row r="56" spans="1:21" ht="26.1" customHeight="1" x14ac:dyDescent="0.2">
      <c r="A56" s="1"/>
      <c r="B56" s="1"/>
      <c r="C56" s="1"/>
      <c r="D56" s="7"/>
      <c r="E56" s="63"/>
      <c r="F56" s="63"/>
      <c r="G56" s="63"/>
      <c r="H56" s="63"/>
      <c r="I56" s="44"/>
      <c r="J56" s="63"/>
      <c r="K56" s="63"/>
      <c r="L56" s="63"/>
      <c r="M56" s="63"/>
      <c r="N56" s="63"/>
      <c r="O56" s="63"/>
      <c r="P56" s="63"/>
      <c r="Q56" s="7"/>
      <c r="R56" s="7"/>
      <c r="S56" s="1"/>
      <c r="T56" s="1"/>
      <c r="U56" s="1"/>
    </row>
    <row r="57" spans="1:21" ht="26.1" customHeight="1" x14ac:dyDescent="0.2">
      <c r="A57" s="1"/>
      <c r="B57" s="1"/>
      <c r="C57" s="1"/>
      <c r="D57" s="7"/>
      <c r="E57" s="63"/>
      <c r="F57" s="63"/>
      <c r="G57" s="63"/>
      <c r="H57" s="63"/>
      <c r="I57" s="44"/>
      <c r="J57" s="63"/>
      <c r="K57" s="63"/>
      <c r="L57" s="63"/>
      <c r="M57" s="63"/>
      <c r="N57" s="63"/>
      <c r="O57" s="63"/>
      <c r="P57" s="63"/>
      <c r="Q57" s="7"/>
      <c r="R57" s="7"/>
      <c r="S57" s="1"/>
      <c r="T57" s="1"/>
      <c r="U57" s="1"/>
    </row>
    <row r="58" spans="1:21" ht="26.1" customHeight="1" x14ac:dyDescent="0.2">
      <c r="A58" s="1"/>
      <c r="B58" s="1"/>
      <c r="C58" s="1"/>
      <c r="D58" s="7"/>
      <c r="E58" s="63"/>
      <c r="F58" s="63"/>
      <c r="G58" s="63"/>
      <c r="H58" s="63"/>
      <c r="I58" s="44"/>
      <c r="J58" s="63"/>
      <c r="K58" s="63"/>
      <c r="L58" s="63"/>
      <c r="M58" s="63"/>
      <c r="N58" s="63"/>
      <c r="O58" s="63"/>
      <c r="P58" s="63"/>
      <c r="Q58" s="7"/>
      <c r="R58" s="7"/>
      <c r="S58" s="1"/>
      <c r="T58" s="1"/>
      <c r="U58" s="1"/>
    </row>
    <row r="59" spans="1:21" ht="26.1" customHeight="1" x14ac:dyDescent="0.2">
      <c r="A59" s="1"/>
      <c r="B59" s="1"/>
      <c r="C59" s="1"/>
      <c r="D59" s="7"/>
      <c r="E59" s="63"/>
      <c r="F59" s="63"/>
      <c r="G59" s="63"/>
      <c r="H59" s="63"/>
      <c r="I59" s="44"/>
      <c r="J59" s="63"/>
      <c r="K59" s="63"/>
      <c r="L59" s="63"/>
      <c r="M59" s="63"/>
      <c r="N59" s="63"/>
      <c r="O59" s="63"/>
      <c r="P59" s="63"/>
      <c r="Q59" s="7"/>
      <c r="R59" s="7"/>
      <c r="S59" s="1"/>
      <c r="T59" s="1"/>
      <c r="U59" s="1"/>
    </row>
    <row r="60" spans="1:21" ht="26.1" customHeight="1" x14ac:dyDescent="0.2">
      <c r="A60" s="1"/>
      <c r="B60" s="1"/>
      <c r="C60" s="1"/>
      <c r="D60" s="7"/>
      <c r="E60" s="63"/>
      <c r="F60" s="63"/>
      <c r="G60" s="63"/>
      <c r="H60" s="63"/>
      <c r="I60" s="44"/>
      <c r="J60" s="63"/>
      <c r="K60" s="63"/>
      <c r="L60" s="63"/>
      <c r="M60" s="63"/>
      <c r="N60" s="63"/>
      <c r="O60" s="63"/>
      <c r="P60" s="63"/>
      <c r="Q60" s="7"/>
      <c r="R60" s="7"/>
      <c r="S60" s="1"/>
      <c r="T60" s="1"/>
      <c r="U60" s="1"/>
    </row>
    <row r="61" spans="1:21" ht="26.1" customHeight="1" x14ac:dyDescent="0.2">
      <c r="A61" s="1"/>
      <c r="B61" s="1"/>
      <c r="C61" s="1"/>
      <c r="D61" s="7"/>
      <c r="E61" s="63"/>
      <c r="F61" s="63"/>
      <c r="G61" s="63"/>
      <c r="H61" s="63"/>
      <c r="I61" s="44"/>
      <c r="J61" s="63"/>
      <c r="K61" s="63"/>
      <c r="L61" s="63"/>
      <c r="M61" s="63"/>
      <c r="N61" s="63"/>
      <c r="O61" s="63"/>
      <c r="P61" s="63"/>
      <c r="Q61" s="7"/>
      <c r="R61" s="7"/>
      <c r="S61" s="1"/>
      <c r="T61" s="1"/>
      <c r="U61" s="1"/>
    </row>
    <row r="62" spans="1:21" ht="26.1" customHeight="1" x14ac:dyDescent="0.2">
      <c r="A62" s="1"/>
      <c r="B62" s="1"/>
      <c r="C62" s="1"/>
      <c r="D62" s="7"/>
      <c r="E62" s="63"/>
      <c r="F62" s="63"/>
      <c r="G62" s="63"/>
      <c r="H62" s="63"/>
      <c r="I62" s="44"/>
      <c r="J62" s="63"/>
      <c r="K62" s="63"/>
      <c r="L62" s="63"/>
      <c r="M62" s="63"/>
      <c r="N62" s="63"/>
      <c r="O62" s="63"/>
      <c r="P62" s="63"/>
      <c r="Q62" s="7"/>
      <c r="R62" s="7"/>
      <c r="S62" s="1"/>
      <c r="T62" s="1"/>
      <c r="U62" s="1"/>
    </row>
    <row r="63" spans="1:21" ht="26.1" customHeight="1" x14ac:dyDescent="0.2">
      <c r="A63" s="1"/>
      <c r="B63" s="1"/>
      <c r="C63" s="1"/>
      <c r="D63" s="7"/>
      <c r="E63" s="63"/>
      <c r="F63" s="63"/>
      <c r="G63" s="63"/>
      <c r="H63" s="63"/>
      <c r="I63" s="44"/>
      <c r="J63" s="63"/>
      <c r="K63" s="63"/>
      <c r="L63" s="63"/>
      <c r="M63" s="63"/>
      <c r="N63" s="63"/>
      <c r="O63" s="63"/>
      <c r="P63" s="63"/>
      <c r="Q63" s="7"/>
      <c r="R63" s="7"/>
      <c r="S63" s="1"/>
      <c r="T63" s="1"/>
      <c r="U63" s="1"/>
    </row>
    <row r="64" spans="1:21" ht="26.1" customHeight="1" x14ac:dyDescent="0.2">
      <c r="A64" s="1"/>
      <c r="B64" s="1"/>
      <c r="C64" s="1"/>
      <c r="D64" s="7"/>
      <c r="E64" s="63"/>
      <c r="F64" s="63"/>
      <c r="G64" s="63"/>
      <c r="H64" s="63"/>
      <c r="I64" s="44"/>
      <c r="J64" s="63"/>
      <c r="K64" s="63"/>
      <c r="L64" s="63"/>
      <c r="M64" s="63"/>
      <c r="N64" s="63"/>
      <c r="O64" s="63"/>
      <c r="P64" s="63"/>
      <c r="Q64" s="7"/>
      <c r="R64" s="7"/>
      <c r="S64" s="1"/>
      <c r="T64" s="1"/>
      <c r="U64" s="1"/>
    </row>
    <row r="65" spans="1:21" ht="26.1" customHeight="1" x14ac:dyDescent="0.2">
      <c r="A65" s="1"/>
      <c r="B65" s="1"/>
      <c r="C65" s="1"/>
      <c r="D65" s="7"/>
      <c r="E65" s="63"/>
      <c r="F65" s="63"/>
      <c r="G65" s="63"/>
      <c r="H65" s="63"/>
      <c r="I65" s="44"/>
      <c r="J65" s="63"/>
      <c r="K65" s="63"/>
      <c r="L65" s="63"/>
      <c r="M65" s="63"/>
      <c r="N65" s="63"/>
      <c r="O65" s="63"/>
      <c r="P65" s="63"/>
      <c r="Q65" s="7"/>
      <c r="R65" s="7"/>
      <c r="S65" s="1"/>
      <c r="T65" s="1"/>
      <c r="U65" s="1"/>
    </row>
    <row r="66" spans="1:21" ht="26.1" customHeight="1" x14ac:dyDescent="0.2">
      <c r="A66" s="1"/>
      <c r="B66" s="1"/>
      <c r="C66" s="1"/>
      <c r="D66" s="7"/>
      <c r="E66" s="63"/>
      <c r="F66" s="63"/>
      <c r="G66" s="63"/>
      <c r="H66" s="63"/>
      <c r="I66" s="44"/>
      <c r="J66" s="63"/>
      <c r="K66" s="63"/>
      <c r="L66" s="63"/>
      <c r="M66" s="63"/>
      <c r="N66" s="63"/>
      <c r="O66" s="63"/>
      <c r="P66" s="63"/>
      <c r="Q66" s="7"/>
      <c r="R66" s="7"/>
      <c r="S66" s="1"/>
      <c r="T66" s="1"/>
      <c r="U66" s="1"/>
    </row>
    <row r="67" spans="1:21" ht="26.1" customHeight="1" x14ac:dyDescent="0.2">
      <c r="A67" s="1"/>
      <c r="B67" s="1"/>
      <c r="C67" s="1"/>
      <c r="D67" s="7"/>
      <c r="E67" s="63"/>
      <c r="F67" s="63"/>
      <c r="G67" s="63"/>
      <c r="H67" s="63"/>
      <c r="I67" s="44"/>
      <c r="J67" s="63"/>
      <c r="K67" s="63"/>
      <c r="L67" s="63"/>
      <c r="M67" s="63"/>
      <c r="N67" s="63"/>
      <c r="O67" s="63"/>
      <c r="P67" s="63"/>
      <c r="Q67" s="7"/>
      <c r="R67" s="7"/>
      <c r="S67" s="1"/>
      <c r="T67" s="1"/>
      <c r="U67" s="1"/>
    </row>
    <row r="68" spans="1:21" ht="26.1" customHeight="1" x14ac:dyDescent="0.2">
      <c r="A68" s="1"/>
      <c r="B68" s="1"/>
      <c r="C68" s="1"/>
      <c r="D68" s="7"/>
      <c r="E68" s="63"/>
      <c r="F68" s="63"/>
      <c r="G68" s="63"/>
      <c r="H68" s="63"/>
      <c r="I68" s="44"/>
      <c r="J68" s="63"/>
      <c r="K68" s="63"/>
      <c r="L68" s="63"/>
      <c r="M68" s="63"/>
      <c r="N68" s="63"/>
      <c r="O68" s="63"/>
      <c r="P68" s="63"/>
      <c r="Q68" s="7"/>
      <c r="R68" s="7"/>
      <c r="S68" s="1"/>
      <c r="T68" s="1"/>
      <c r="U68" s="1"/>
    </row>
    <row r="69" spans="1:21" ht="26.1" customHeight="1" x14ac:dyDescent="0.2">
      <c r="A69" s="1"/>
      <c r="B69" s="1"/>
      <c r="C69" s="1"/>
      <c r="D69" s="7"/>
      <c r="E69" s="63"/>
      <c r="F69" s="63"/>
      <c r="G69" s="63"/>
      <c r="H69" s="63"/>
      <c r="I69" s="44"/>
      <c r="J69" s="63"/>
      <c r="K69" s="63"/>
      <c r="L69" s="63"/>
      <c r="M69" s="63"/>
      <c r="N69" s="63"/>
      <c r="O69" s="63"/>
      <c r="P69" s="63"/>
      <c r="Q69" s="7"/>
      <c r="R69" s="7"/>
      <c r="S69" s="1"/>
      <c r="T69" s="1"/>
      <c r="U69" s="1"/>
    </row>
    <row r="70" spans="1:21" ht="26.1" customHeight="1" x14ac:dyDescent="0.2">
      <c r="A70" s="1"/>
      <c r="B70" s="1"/>
      <c r="C70" s="1"/>
      <c r="D70" s="7"/>
      <c r="E70" s="63"/>
      <c r="F70" s="63"/>
      <c r="G70" s="63"/>
      <c r="H70" s="63"/>
      <c r="I70" s="44"/>
      <c r="J70" s="63"/>
      <c r="K70" s="63"/>
      <c r="L70" s="63"/>
      <c r="M70" s="63"/>
      <c r="N70" s="63"/>
      <c r="O70" s="63"/>
      <c r="P70" s="63"/>
      <c r="Q70" s="7"/>
      <c r="R70" s="7"/>
      <c r="S70" s="1"/>
      <c r="T70" s="1"/>
      <c r="U70" s="1"/>
    </row>
    <row r="71" spans="1:21" ht="26.1" customHeight="1" x14ac:dyDescent="0.2">
      <c r="A71" s="1"/>
      <c r="B71" s="1"/>
      <c r="C71" s="1"/>
      <c r="D71" s="7"/>
      <c r="E71" s="63"/>
      <c r="F71" s="63"/>
      <c r="G71" s="63"/>
      <c r="H71" s="63"/>
      <c r="I71" s="44"/>
      <c r="J71" s="63"/>
      <c r="K71" s="63"/>
      <c r="L71" s="63"/>
      <c r="M71" s="63"/>
      <c r="N71" s="63"/>
      <c r="O71" s="63"/>
      <c r="P71" s="63"/>
      <c r="Q71" s="7"/>
      <c r="R71" s="7"/>
      <c r="S71" s="1"/>
      <c r="T71" s="1"/>
      <c r="U71" s="1"/>
    </row>
    <row r="72" spans="1:21" ht="26.1" customHeight="1" x14ac:dyDescent="0.2">
      <c r="A72" s="1"/>
      <c r="B72" s="1"/>
      <c r="C72" s="1"/>
      <c r="D72" s="7"/>
      <c r="E72" s="63"/>
      <c r="F72" s="63"/>
      <c r="G72" s="63"/>
      <c r="H72" s="63"/>
      <c r="I72" s="44"/>
      <c r="J72" s="63"/>
      <c r="K72" s="63"/>
      <c r="L72" s="63"/>
      <c r="M72" s="63"/>
      <c r="N72" s="63"/>
      <c r="O72" s="63"/>
      <c r="P72" s="63"/>
      <c r="Q72" s="7"/>
      <c r="R72" s="7"/>
      <c r="S72" s="1"/>
      <c r="T72" s="1"/>
      <c r="U72" s="1"/>
    </row>
    <row r="73" spans="1:21" ht="26.1" customHeight="1" x14ac:dyDescent="0.2">
      <c r="A73" s="1"/>
      <c r="B73" s="1"/>
      <c r="C73" s="1"/>
      <c r="D73" s="7"/>
      <c r="E73" s="63"/>
      <c r="F73" s="63"/>
      <c r="G73" s="63"/>
      <c r="H73" s="63"/>
      <c r="I73" s="44"/>
      <c r="J73" s="63"/>
      <c r="K73" s="63"/>
      <c r="L73" s="63"/>
      <c r="M73" s="63"/>
      <c r="N73" s="63"/>
      <c r="O73" s="63"/>
      <c r="P73" s="63"/>
      <c r="Q73" s="7"/>
      <c r="R73" s="7"/>
      <c r="S73" s="1"/>
      <c r="T73" s="1"/>
      <c r="U73" s="1"/>
    </row>
    <row r="74" spans="1:21" ht="26.1" customHeight="1" x14ac:dyDescent="0.2">
      <c r="A74" s="1"/>
      <c r="B74" s="1"/>
      <c r="C74" s="1"/>
      <c r="D74" s="7"/>
      <c r="E74" s="63"/>
      <c r="F74" s="63"/>
      <c r="G74" s="63"/>
      <c r="H74" s="63"/>
      <c r="I74" s="44"/>
      <c r="J74" s="63"/>
      <c r="K74" s="63"/>
      <c r="L74" s="63"/>
      <c r="M74" s="63"/>
      <c r="N74" s="63"/>
      <c r="O74" s="63"/>
      <c r="P74" s="63"/>
      <c r="Q74" s="7"/>
      <c r="R74" s="7"/>
      <c r="S74" s="1"/>
      <c r="T74" s="1"/>
      <c r="U74" s="1"/>
    </row>
    <row r="75" spans="1:21" ht="26.1" customHeight="1" x14ac:dyDescent="0.2">
      <c r="A75" s="1"/>
      <c r="B75" s="1"/>
      <c r="C75" s="1"/>
      <c r="D75" s="7"/>
      <c r="E75" s="63"/>
      <c r="F75" s="63"/>
      <c r="G75" s="63"/>
      <c r="H75" s="63"/>
      <c r="I75" s="44"/>
      <c r="J75" s="63"/>
      <c r="K75" s="63"/>
      <c r="L75" s="63"/>
      <c r="M75" s="63"/>
      <c r="N75" s="63"/>
      <c r="O75" s="63"/>
      <c r="P75" s="63"/>
      <c r="Q75" s="7"/>
      <c r="R75" s="7"/>
      <c r="S75" s="1"/>
      <c r="T75" s="1"/>
      <c r="U75" s="1"/>
    </row>
    <row r="76" spans="1:21" ht="26.1" customHeight="1" x14ac:dyDescent="0.2">
      <c r="A76" s="1"/>
      <c r="B76" s="1"/>
      <c r="C76" s="1"/>
      <c r="D76" s="7"/>
      <c r="E76" s="63"/>
      <c r="F76" s="63"/>
      <c r="G76" s="63"/>
      <c r="H76" s="63"/>
      <c r="I76" s="44"/>
      <c r="J76" s="63"/>
      <c r="K76" s="63"/>
      <c r="L76" s="63"/>
      <c r="M76" s="63"/>
      <c r="N76" s="63"/>
      <c r="O76" s="63"/>
      <c r="P76" s="63"/>
      <c r="Q76" s="7"/>
      <c r="R76" s="7"/>
      <c r="S76" s="1"/>
      <c r="T76" s="1"/>
      <c r="U76" s="1"/>
    </row>
    <row r="77" spans="1:21" ht="26.1" customHeight="1" x14ac:dyDescent="0.2">
      <c r="A77" s="1"/>
      <c r="B77" s="1"/>
      <c r="C77" s="1"/>
      <c r="D77" s="7"/>
      <c r="E77" s="63"/>
      <c r="F77" s="63"/>
      <c r="G77" s="63"/>
      <c r="H77" s="63"/>
      <c r="I77" s="44"/>
      <c r="J77" s="63"/>
      <c r="K77" s="63"/>
      <c r="L77" s="63"/>
      <c r="M77" s="63"/>
      <c r="N77" s="63"/>
      <c r="O77" s="63"/>
      <c r="P77" s="63"/>
      <c r="Q77" s="7"/>
      <c r="R77" s="7"/>
      <c r="S77" s="1"/>
      <c r="T77" s="1"/>
      <c r="U77" s="1"/>
    </row>
    <row r="78" spans="1:21" ht="26.1" customHeight="1" x14ac:dyDescent="0.2">
      <c r="A78" s="1"/>
      <c r="B78" s="1"/>
      <c r="C78" s="1"/>
      <c r="D78" s="7"/>
      <c r="E78" s="63"/>
      <c r="F78" s="63"/>
      <c r="G78" s="63"/>
      <c r="H78" s="63"/>
      <c r="I78" s="44"/>
      <c r="J78" s="63"/>
      <c r="K78" s="63"/>
      <c r="L78" s="63"/>
      <c r="M78" s="63"/>
      <c r="N78" s="63"/>
      <c r="O78" s="63"/>
      <c r="P78" s="63"/>
      <c r="Q78" s="7"/>
      <c r="R78" s="7"/>
      <c r="S78" s="1"/>
      <c r="T78" s="1"/>
      <c r="U78" s="1"/>
    </row>
    <row r="79" spans="1:21" ht="26.1" customHeight="1" x14ac:dyDescent="0.2">
      <c r="A79" s="1"/>
      <c r="B79" s="1"/>
      <c r="C79" s="1"/>
      <c r="D79" s="7"/>
      <c r="E79" s="63"/>
      <c r="F79" s="63"/>
      <c r="G79" s="63"/>
      <c r="H79" s="63"/>
      <c r="I79" s="44"/>
      <c r="J79" s="63"/>
      <c r="K79" s="63"/>
      <c r="L79" s="63"/>
      <c r="M79" s="63"/>
      <c r="N79" s="63"/>
      <c r="O79" s="63"/>
      <c r="P79" s="63"/>
      <c r="Q79" s="7"/>
      <c r="R79" s="7"/>
      <c r="S79" s="1"/>
      <c r="T79" s="1"/>
      <c r="U79" s="1"/>
    </row>
    <row r="80" spans="1:21" ht="26.1" customHeight="1" x14ac:dyDescent="0.2">
      <c r="A80" s="1"/>
      <c r="B80" s="1"/>
      <c r="C80" s="1"/>
      <c r="D80" s="7"/>
      <c r="E80" s="63"/>
      <c r="F80" s="63"/>
      <c r="G80" s="63"/>
      <c r="H80" s="63"/>
      <c r="I80" s="44"/>
      <c r="J80" s="63"/>
      <c r="K80" s="63"/>
      <c r="L80" s="63"/>
      <c r="M80" s="63"/>
      <c r="N80" s="63"/>
      <c r="O80" s="63"/>
      <c r="P80" s="63"/>
      <c r="Q80" s="7"/>
      <c r="R80" s="7"/>
      <c r="S80" s="1"/>
      <c r="T80" s="1"/>
      <c r="U80" s="1"/>
    </row>
    <row r="81" spans="1:21" ht="26.1" customHeight="1" x14ac:dyDescent="0.2">
      <c r="A81" s="1"/>
      <c r="B81" s="1"/>
      <c r="C81" s="1"/>
      <c r="D81" s="7"/>
      <c r="E81" s="63"/>
      <c r="F81" s="63"/>
      <c r="G81" s="63"/>
      <c r="H81" s="63"/>
      <c r="I81" s="44"/>
      <c r="J81" s="63"/>
      <c r="K81" s="63"/>
      <c r="L81" s="63"/>
      <c r="M81" s="63"/>
      <c r="N81" s="63"/>
      <c r="O81" s="63"/>
      <c r="P81" s="63"/>
      <c r="Q81" s="7"/>
      <c r="R81" s="7"/>
      <c r="S81" s="1"/>
      <c r="T81" s="1"/>
      <c r="U81" s="1"/>
    </row>
    <row r="82" spans="1:21" ht="26.1" customHeight="1" x14ac:dyDescent="0.2">
      <c r="A82" s="1"/>
      <c r="B82" s="1"/>
      <c r="C82" s="1"/>
      <c r="D82" s="7"/>
      <c r="E82" s="63"/>
      <c r="F82" s="63"/>
      <c r="G82" s="63"/>
      <c r="H82" s="63"/>
      <c r="I82" s="44"/>
      <c r="J82" s="63"/>
      <c r="K82" s="63"/>
      <c r="L82" s="63"/>
      <c r="M82" s="63"/>
      <c r="N82" s="63"/>
      <c r="O82" s="63"/>
      <c r="P82" s="63"/>
      <c r="Q82" s="7"/>
      <c r="R82" s="7"/>
      <c r="S82" s="1"/>
      <c r="T82" s="1"/>
      <c r="U82" s="1"/>
    </row>
    <row r="83" spans="1:21" ht="26.1" customHeight="1" x14ac:dyDescent="0.2">
      <c r="A83" s="1"/>
      <c r="B83" s="1"/>
      <c r="C83" s="1"/>
      <c r="D83" s="7"/>
      <c r="E83" s="63"/>
      <c r="F83" s="63"/>
      <c r="G83" s="63"/>
      <c r="H83" s="63"/>
      <c r="I83" s="44"/>
      <c r="J83" s="63"/>
      <c r="K83" s="63"/>
      <c r="L83" s="63"/>
      <c r="M83" s="63"/>
      <c r="N83" s="63"/>
      <c r="O83" s="63"/>
      <c r="P83" s="63"/>
      <c r="Q83" s="7"/>
      <c r="R83" s="7"/>
      <c r="S83" s="1"/>
      <c r="T83" s="1"/>
      <c r="U83" s="1"/>
    </row>
    <row r="84" spans="1:21" ht="26.1" customHeight="1" x14ac:dyDescent="0.2">
      <c r="A84" s="1"/>
      <c r="B84" s="1"/>
      <c r="C84" s="1"/>
      <c r="D84" s="7"/>
      <c r="E84" s="63"/>
      <c r="F84" s="63"/>
      <c r="G84" s="63"/>
      <c r="H84" s="63"/>
      <c r="I84" s="44"/>
      <c r="J84" s="63"/>
      <c r="K84" s="63"/>
      <c r="L84" s="63"/>
      <c r="M84" s="63"/>
      <c r="N84" s="63"/>
      <c r="O84" s="63"/>
      <c r="P84" s="63"/>
      <c r="Q84" s="7"/>
      <c r="R84" s="7"/>
      <c r="S84" s="1"/>
      <c r="T84" s="1"/>
      <c r="U84" s="1"/>
    </row>
    <row r="85" spans="1:21" ht="26.1" customHeight="1" x14ac:dyDescent="0.2">
      <c r="A85" s="1"/>
      <c r="B85" s="1"/>
      <c r="C85" s="1"/>
      <c r="D85" s="7"/>
      <c r="E85" s="63"/>
      <c r="F85" s="63"/>
      <c r="G85" s="63"/>
      <c r="H85" s="63"/>
      <c r="I85" s="44"/>
      <c r="J85" s="63"/>
      <c r="K85" s="63"/>
      <c r="L85" s="63"/>
      <c r="M85" s="63"/>
      <c r="N85" s="63"/>
      <c r="O85" s="63"/>
      <c r="P85" s="63"/>
      <c r="Q85" s="7"/>
      <c r="R85" s="7"/>
      <c r="S85" s="1"/>
      <c r="T85" s="1"/>
      <c r="U85" s="1"/>
    </row>
    <row r="86" spans="1:21" ht="26.1" customHeight="1" x14ac:dyDescent="0.2">
      <c r="A86" s="1"/>
      <c r="B86" s="1"/>
      <c r="C86" s="1"/>
      <c r="D86" s="7"/>
      <c r="E86" s="63"/>
      <c r="F86" s="63"/>
      <c r="G86" s="63"/>
      <c r="H86" s="63"/>
      <c r="I86" s="44"/>
      <c r="J86" s="63"/>
      <c r="K86" s="63"/>
      <c r="L86" s="63"/>
      <c r="M86" s="63"/>
      <c r="N86" s="63"/>
      <c r="O86" s="63"/>
      <c r="P86" s="63"/>
      <c r="Q86" s="7"/>
      <c r="R86" s="7"/>
      <c r="S86" s="1"/>
      <c r="T86" s="1"/>
      <c r="U86" s="1"/>
    </row>
    <row r="87" spans="1:21" ht="26.1" customHeight="1" x14ac:dyDescent="0.2">
      <c r="A87" s="1"/>
      <c r="B87" s="1"/>
      <c r="C87" s="1"/>
      <c r="D87" s="7"/>
      <c r="E87" s="63"/>
      <c r="F87" s="63"/>
      <c r="G87" s="63"/>
      <c r="H87" s="63"/>
      <c r="I87" s="44"/>
      <c r="J87" s="63"/>
      <c r="K87" s="63"/>
      <c r="L87" s="63"/>
      <c r="M87" s="63"/>
      <c r="N87" s="63"/>
      <c r="O87" s="63"/>
      <c r="P87" s="63"/>
      <c r="Q87" s="7"/>
      <c r="R87" s="7"/>
      <c r="S87" s="1"/>
      <c r="T87" s="1"/>
      <c r="U87" s="1"/>
    </row>
    <row r="88" spans="1:21" ht="26.1" customHeight="1" x14ac:dyDescent="0.2">
      <c r="A88" s="1"/>
      <c r="B88" s="1"/>
      <c r="C88" s="1"/>
      <c r="D88" s="7"/>
      <c r="E88" s="63"/>
      <c r="F88" s="63"/>
      <c r="G88" s="63"/>
      <c r="H88" s="63"/>
      <c r="I88" s="44"/>
      <c r="J88" s="63"/>
      <c r="K88" s="63"/>
      <c r="L88" s="63"/>
      <c r="M88" s="63"/>
      <c r="N88" s="63"/>
      <c r="O88" s="63"/>
      <c r="P88" s="63"/>
      <c r="Q88" s="7"/>
      <c r="R88" s="7"/>
      <c r="S88" s="1"/>
      <c r="T88" s="1"/>
      <c r="U88" s="1"/>
    </row>
    <row r="89" spans="1:21" ht="26.1" customHeight="1" x14ac:dyDescent="0.2">
      <c r="A89" s="1"/>
      <c r="B89" s="1"/>
      <c r="C89" s="1"/>
      <c r="D89" s="7"/>
      <c r="E89" s="63"/>
      <c r="F89" s="63"/>
      <c r="G89" s="63"/>
      <c r="H89" s="63"/>
      <c r="I89" s="44"/>
      <c r="J89" s="63"/>
      <c r="K89" s="63"/>
      <c r="L89" s="63"/>
      <c r="M89" s="63"/>
      <c r="N89" s="63"/>
      <c r="O89" s="63"/>
      <c r="P89" s="63"/>
      <c r="Q89" s="7"/>
      <c r="R89" s="7"/>
      <c r="S89" s="1"/>
      <c r="T89" s="1"/>
      <c r="U89" s="1"/>
    </row>
    <row r="90" spans="1:21" ht="26.1" customHeight="1" x14ac:dyDescent="0.2">
      <c r="A90" s="1"/>
      <c r="B90" s="1"/>
      <c r="C90" s="1"/>
      <c r="D90" s="7"/>
      <c r="E90" s="63"/>
      <c r="F90" s="63"/>
      <c r="G90" s="63"/>
      <c r="H90" s="63"/>
      <c r="I90" s="44"/>
      <c r="J90" s="63"/>
      <c r="K90" s="63"/>
      <c r="L90" s="63"/>
      <c r="M90" s="63"/>
      <c r="N90" s="63"/>
      <c r="O90" s="63"/>
      <c r="P90" s="63"/>
      <c r="Q90" s="7"/>
      <c r="R90" s="7"/>
      <c r="S90" s="1"/>
      <c r="T90" s="1"/>
      <c r="U90" s="1"/>
    </row>
    <row r="91" spans="1:21" ht="26.1" customHeight="1" x14ac:dyDescent="0.2">
      <c r="A91" s="1"/>
      <c r="B91" s="1"/>
      <c r="C91" s="1"/>
      <c r="D91" s="7"/>
      <c r="E91" s="63"/>
      <c r="F91" s="63"/>
      <c r="G91" s="63"/>
      <c r="H91" s="63"/>
      <c r="I91" s="44"/>
      <c r="J91" s="63"/>
      <c r="K91" s="63"/>
      <c r="L91" s="63"/>
      <c r="M91" s="63"/>
      <c r="N91" s="63"/>
      <c r="O91" s="63"/>
      <c r="P91" s="63"/>
      <c r="Q91" s="7"/>
      <c r="R91" s="7"/>
      <c r="S91" s="1"/>
      <c r="T91" s="1"/>
      <c r="U91" s="1"/>
    </row>
    <row r="92" spans="1:21" ht="26.1" customHeight="1" x14ac:dyDescent="0.2">
      <c r="A92" s="1"/>
      <c r="B92" s="1"/>
      <c r="C92" s="1"/>
      <c r="D92" s="7"/>
      <c r="E92" s="63"/>
      <c r="F92" s="63"/>
      <c r="G92" s="63"/>
      <c r="H92" s="63"/>
      <c r="I92" s="44"/>
      <c r="J92" s="63"/>
      <c r="K92" s="63"/>
      <c r="L92" s="63"/>
      <c r="M92" s="63"/>
      <c r="N92" s="63"/>
      <c r="O92" s="63"/>
      <c r="P92" s="63"/>
      <c r="Q92" s="7"/>
      <c r="R92" s="7"/>
      <c r="S92" s="1"/>
      <c r="T92" s="1"/>
      <c r="U92" s="1"/>
    </row>
    <row r="93" spans="1:21" ht="26.1" customHeight="1" x14ac:dyDescent="0.2">
      <c r="A93" s="1"/>
      <c r="B93" s="1"/>
      <c r="C93" s="1"/>
      <c r="D93" s="7"/>
      <c r="E93" s="63"/>
      <c r="F93" s="63"/>
      <c r="G93" s="63"/>
      <c r="H93" s="63"/>
      <c r="I93" s="44"/>
      <c r="J93" s="63"/>
      <c r="K93" s="63"/>
      <c r="L93" s="63"/>
      <c r="M93" s="63"/>
      <c r="N93" s="63"/>
      <c r="O93" s="63"/>
      <c r="P93" s="63"/>
      <c r="Q93" s="7"/>
      <c r="R93" s="7"/>
      <c r="S93" s="1"/>
      <c r="T93" s="1"/>
      <c r="U93" s="1"/>
    </row>
    <row r="94" spans="1:21" ht="26.1" customHeight="1" x14ac:dyDescent="0.2">
      <c r="A94" s="1"/>
      <c r="B94" s="1"/>
      <c r="C94" s="1"/>
      <c r="D94" s="7"/>
      <c r="E94" s="63"/>
      <c r="F94" s="63"/>
      <c r="G94" s="63"/>
      <c r="H94" s="63"/>
      <c r="I94" s="44"/>
      <c r="J94" s="63"/>
      <c r="K94" s="63"/>
      <c r="L94" s="63"/>
      <c r="M94" s="63"/>
      <c r="N94" s="63"/>
      <c r="O94" s="63"/>
      <c r="P94" s="63"/>
      <c r="Q94" s="7"/>
      <c r="R94" s="7"/>
      <c r="S94" s="1"/>
      <c r="T94" s="1"/>
      <c r="U94" s="1"/>
    </row>
    <row r="95" spans="1:21" ht="26.1" customHeight="1" x14ac:dyDescent="0.2">
      <c r="A95" s="1"/>
      <c r="B95" s="1"/>
      <c r="C95" s="1"/>
      <c r="D95" s="7"/>
      <c r="E95" s="63"/>
      <c r="F95" s="63"/>
      <c r="G95" s="63"/>
      <c r="H95" s="63"/>
      <c r="I95" s="44"/>
      <c r="J95" s="63"/>
      <c r="K95" s="63"/>
      <c r="L95" s="63"/>
      <c r="M95" s="63"/>
      <c r="N95" s="63"/>
      <c r="O95" s="63"/>
      <c r="P95" s="63"/>
      <c r="Q95" s="7"/>
      <c r="R95" s="7"/>
      <c r="S95" s="1"/>
      <c r="T95" s="1"/>
      <c r="U95" s="1"/>
    </row>
    <row r="96" spans="1:21" ht="26.1" customHeight="1" x14ac:dyDescent="0.2">
      <c r="A96" s="1"/>
      <c r="B96" s="1"/>
      <c r="C96" s="1"/>
      <c r="D96" s="7"/>
      <c r="E96" s="63"/>
      <c r="F96" s="63"/>
      <c r="G96" s="63"/>
      <c r="H96" s="63"/>
      <c r="I96" s="44"/>
      <c r="J96" s="63"/>
      <c r="K96" s="63"/>
      <c r="L96" s="63"/>
      <c r="M96" s="63"/>
      <c r="N96" s="63"/>
      <c r="O96" s="63"/>
      <c r="P96" s="63"/>
      <c r="Q96" s="7"/>
      <c r="R96" s="7"/>
      <c r="S96" s="1"/>
      <c r="T96" s="1"/>
      <c r="U96" s="1"/>
    </row>
    <row r="97" spans="1:21" ht="26.1" customHeight="1" x14ac:dyDescent="0.2">
      <c r="A97" s="1"/>
      <c r="B97" s="1"/>
      <c r="C97" s="1"/>
      <c r="D97" s="7"/>
      <c r="E97" s="63"/>
      <c r="F97" s="63"/>
      <c r="G97" s="63"/>
      <c r="H97" s="63"/>
      <c r="I97" s="44"/>
      <c r="J97" s="63"/>
      <c r="K97" s="63"/>
      <c r="L97" s="63"/>
      <c r="M97" s="63"/>
      <c r="N97" s="63"/>
      <c r="O97" s="63"/>
      <c r="P97" s="63"/>
      <c r="Q97" s="7"/>
      <c r="R97" s="7"/>
      <c r="S97" s="1"/>
      <c r="T97" s="1"/>
      <c r="U97" s="1"/>
    </row>
    <row r="98" spans="1:21" ht="26.1" customHeight="1" x14ac:dyDescent="0.2">
      <c r="A98" s="1"/>
      <c r="B98" s="1"/>
      <c r="C98" s="1"/>
      <c r="D98" s="7"/>
      <c r="E98" s="63"/>
      <c r="F98" s="63"/>
      <c r="G98" s="63"/>
      <c r="H98" s="63"/>
      <c r="I98" s="44"/>
      <c r="J98" s="63"/>
      <c r="K98" s="63"/>
      <c r="L98" s="63"/>
      <c r="M98" s="63"/>
      <c r="N98" s="63"/>
      <c r="O98" s="63"/>
      <c r="P98" s="63"/>
      <c r="Q98" s="7"/>
      <c r="R98" s="7"/>
      <c r="S98" s="1"/>
      <c r="T98" s="1"/>
      <c r="U98" s="1"/>
    </row>
    <row r="99" spans="1:21" ht="26.1" customHeight="1" x14ac:dyDescent="0.2">
      <c r="A99" s="1"/>
      <c r="B99" s="1"/>
      <c r="C99" s="1"/>
      <c r="D99" s="7"/>
      <c r="E99" s="63"/>
      <c r="F99" s="63"/>
      <c r="G99" s="63"/>
      <c r="H99" s="63"/>
      <c r="I99" s="44"/>
      <c r="J99" s="63"/>
      <c r="K99" s="63"/>
      <c r="L99" s="63"/>
      <c r="M99" s="63"/>
      <c r="N99" s="63"/>
      <c r="O99" s="63"/>
      <c r="P99" s="63"/>
      <c r="Q99" s="7"/>
      <c r="R99" s="7"/>
      <c r="S99" s="1"/>
      <c r="T99" s="1"/>
      <c r="U99" s="1"/>
    </row>
  </sheetData>
  <mergeCells count="1">
    <mergeCell ref="T5:AC5"/>
  </mergeCells>
  <pageMargins left="0.22" right="0.22" top="0.28000000000000003" bottom="0.28000000000000003" header="0.26" footer="0.25"/>
  <pageSetup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AC72"/>
  <sheetViews>
    <sheetView workbookViewId="0"/>
  </sheetViews>
  <sheetFormatPr defaultColWidth="9.140625" defaultRowHeight="12.75" x14ac:dyDescent="0.2"/>
  <cols>
    <col min="1" max="1" width="5.140625" style="79" customWidth="1"/>
    <col min="2" max="2" width="16.7109375" style="79" customWidth="1"/>
    <col min="3" max="3" width="6" style="79" customWidth="1"/>
    <col min="4" max="4" width="6.42578125" style="99" customWidth="1"/>
    <col min="5" max="5" width="8.28515625" style="79" customWidth="1"/>
    <col min="6" max="6" width="9.7109375" style="96" customWidth="1"/>
    <col min="7" max="7" width="6.42578125" style="99" customWidth="1"/>
    <col min="8" max="8" width="8.85546875" style="99" customWidth="1"/>
    <col min="9" max="9" width="7.42578125" style="99" customWidth="1"/>
    <col min="10" max="16" width="7.7109375" style="91" customWidth="1"/>
    <col min="17" max="17" width="8.140625" style="96" customWidth="1"/>
    <col min="18" max="19" width="8.28515625" style="106" customWidth="1"/>
    <col min="20" max="20" width="14.140625" style="102" customWidth="1"/>
    <col min="21" max="23" width="8.5703125" style="79" customWidth="1"/>
    <col min="24" max="24" width="17.28515625" style="78" customWidth="1"/>
    <col min="25" max="25" width="13.7109375" style="79" bestFit="1" customWidth="1"/>
    <col min="26" max="26" width="10.5703125" style="79" bestFit="1" customWidth="1"/>
    <col min="27" max="16384" width="9.140625" style="79"/>
  </cols>
  <sheetData>
    <row r="1" spans="1:29" ht="20.25" x14ac:dyDescent="0.3">
      <c r="A1" s="120"/>
      <c r="B1" s="121"/>
      <c r="C1" s="121"/>
      <c r="D1" s="122"/>
      <c r="E1" s="246" t="s">
        <v>7</v>
      </c>
      <c r="F1" s="123"/>
      <c r="G1" s="124"/>
      <c r="H1" s="124"/>
      <c r="I1" s="124"/>
      <c r="J1" s="125"/>
      <c r="K1" s="125"/>
      <c r="L1" s="125"/>
      <c r="M1" s="125"/>
      <c r="N1" s="125"/>
      <c r="O1" s="125"/>
      <c r="P1" s="125"/>
      <c r="Q1" s="123"/>
      <c r="R1" s="126"/>
      <c r="S1" s="126"/>
      <c r="T1" s="127"/>
      <c r="U1" s="128"/>
      <c r="V1" s="129"/>
      <c r="W1" s="129"/>
      <c r="X1" s="130"/>
    </row>
    <row r="2" spans="1:29" ht="15" x14ac:dyDescent="0.2">
      <c r="A2" s="131"/>
      <c r="B2" s="247" t="s">
        <v>11</v>
      </c>
      <c r="C2" s="132"/>
      <c r="D2" s="133"/>
      <c r="E2" s="132"/>
      <c r="F2" s="134"/>
      <c r="G2" s="133"/>
      <c r="H2" s="133"/>
      <c r="I2" s="133"/>
      <c r="J2" s="135"/>
      <c r="K2" s="135"/>
      <c r="L2" s="135"/>
      <c r="M2" s="135"/>
      <c r="N2" s="135"/>
      <c r="O2" s="135"/>
      <c r="P2" s="135"/>
      <c r="Q2" s="134"/>
      <c r="R2" s="136"/>
      <c r="S2" s="136"/>
      <c r="T2" s="137"/>
      <c r="U2" s="138"/>
      <c r="V2" s="129"/>
      <c r="W2" s="129"/>
      <c r="X2" s="130"/>
    </row>
    <row r="3" spans="1:29" x14ac:dyDescent="0.2">
      <c r="A3" s="131"/>
      <c r="B3" s="132"/>
      <c r="C3" s="139"/>
      <c r="D3" s="133"/>
      <c r="E3" s="47" t="s">
        <v>127</v>
      </c>
      <c r="F3" s="140"/>
      <c r="G3" s="141"/>
      <c r="H3" s="141"/>
      <c r="I3" s="141"/>
      <c r="J3" s="142"/>
      <c r="K3" s="142"/>
      <c r="L3" s="142"/>
      <c r="M3" s="142"/>
      <c r="N3" s="142"/>
      <c r="O3" s="142"/>
      <c r="P3" s="142"/>
      <c r="Q3" s="140"/>
      <c r="R3" s="143"/>
      <c r="S3" s="143"/>
      <c r="T3" s="137"/>
      <c r="U3" s="144"/>
      <c r="V3" s="145"/>
      <c r="W3" s="145"/>
      <c r="X3" s="130"/>
    </row>
    <row r="4" spans="1:29" ht="13.5" thickBot="1" x14ac:dyDescent="0.25">
      <c r="A4" s="146"/>
      <c r="B4" s="147"/>
      <c r="C4" s="147"/>
      <c r="D4" s="148"/>
      <c r="E4" s="149"/>
      <c r="F4" s="150"/>
      <c r="G4" s="148"/>
      <c r="H4" s="148"/>
      <c r="I4" s="148"/>
      <c r="J4" s="151"/>
      <c r="K4" s="151"/>
      <c r="L4" s="151"/>
      <c r="M4" s="135"/>
      <c r="N4" s="135"/>
      <c r="O4" s="135"/>
      <c r="P4" s="135"/>
      <c r="Q4" s="150"/>
      <c r="R4" s="152"/>
      <c r="S4" s="152"/>
      <c r="T4" s="153"/>
      <c r="U4" s="154"/>
      <c r="V4" s="132"/>
      <c r="W4" s="132"/>
      <c r="X4" s="130"/>
    </row>
    <row r="5" spans="1:29" ht="21.75" customHeight="1" thickBot="1" x14ac:dyDescent="0.25">
      <c r="A5" s="155" t="s">
        <v>3</v>
      </c>
      <c r="B5" s="156" t="s">
        <v>0</v>
      </c>
      <c r="C5" s="156" t="s">
        <v>6</v>
      </c>
      <c r="D5" s="157" t="s">
        <v>1</v>
      </c>
      <c r="E5" s="158" t="s">
        <v>23</v>
      </c>
      <c r="F5" s="159" t="s">
        <v>24</v>
      </c>
      <c r="G5" s="160" t="s">
        <v>25</v>
      </c>
      <c r="H5" s="160" t="s">
        <v>26</v>
      </c>
      <c r="I5" s="160" t="s">
        <v>19</v>
      </c>
      <c r="J5" s="160" t="s">
        <v>20</v>
      </c>
      <c r="K5" s="160" t="s">
        <v>21</v>
      </c>
      <c r="L5" s="160" t="s">
        <v>27</v>
      </c>
      <c r="M5" s="238" t="s">
        <v>28</v>
      </c>
      <c r="N5" s="240" t="s">
        <v>37</v>
      </c>
      <c r="O5" s="157" t="s">
        <v>38</v>
      </c>
      <c r="P5" s="241" t="s">
        <v>39</v>
      </c>
      <c r="Q5" s="239" t="s">
        <v>16</v>
      </c>
      <c r="R5" s="161" t="s">
        <v>4</v>
      </c>
      <c r="S5" s="161"/>
      <c r="T5" s="162" t="s">
        <v>15</v>
      </c>
      <c r="U5" s="163"/>
      <c r="V5" s="164"/>
      <c r="W5" s="164"/>
      <c r="X5" s="165" t="s">
        <v>22</v>
      </c>
      <c r="Y5" s="166"/>
      <c r="Z5" s="167"/>
      <c r="AA5" s="168"/>
      <c r="AB5" s="168"/>
      <c r="AC5" s="168"/>
    </row>
    <row r="6" spans="1:29" ht="26.25" customHeight="1" x14ac:dyDescent="0.2">
      <c r="A6" s="169">
        <v>1</v>
      </c>
      <c r="B6" s="76"/>
      <c r="C6" s="169"/>
      <c r="D6" s="171"/>
      <c r="E6" s="172"/>
      <c r="F6" s="172"/>
      <c r="G6" s="172"/>
      <c r="H6" s="172"/>
      <c r="I6" s="172"/>
      <c r="J6" s="172"/>
      <c r="K6" s="172"/>
      <c r="L6" s="172"/>
      <c r="M6" s="172"/>
      <c r="N6" s="177"/>
      <c r="O6" s="177"/>
      <c r="P6" s="177"/>
      <c r="Q6" s="172">
        <f>E6+F6+G6+H6+I6+J6+K6+L6+M6+N6+O6+P6</f>
        <v>0</v>
      </c>
      <c r="R6" s="171"/>
      <c r="S6" s="171"/>
      <c r="T6" s="173">
        <f>Q6-R6</f>
        <v>0</v>
      </c>
      <c r="U6" s="174"/>
      <c r="V6" s="175"/>
      <c r="W6" s="175"/>
      <c r="X6" s="176"/>
      <c r="Y6" s="178"/>
      <c r="Z6" s="195"/>
      <c r="AA6" s="168"/>
      <c r="AB6" s="168"/>
      <c r="AC6" s="168"/>
    </row>
    <row r="7" spans="1:29" ht="26.25" customHeight="1" x14ac:dyDescent="0.2">
      <c r="A7" s="169"/>
      <c r="B7" s="76"/>
      <c r="C7" s="169"/>
      <c r="D7" s="171"/>
      <c r="E7" s="169"/>
      <c r="F7" s="172"/>
      <c r="G7" s="172"/>
      <c r="H7" s="172"/>
      <c r="I7" s="172"/>
      <c r="J7" s="172"/>
      <c r="K7" s="172"/>
      <c r="L7" s="172"/>
      <c r="M7" s="172"/>
      <c r="N7" s="177"/>
      <c r="O7" s="177"/>
      <c r="P7" s="177"/>
      <c r="Q7" s="172">
        <f t="shared" ref="Q7:Q23" si="0">E7+F7+G7+H7+I7+J7+K7+L7+M7+N7+O7+P7</f>
        <v>0</v>
      </c>
      <c r="R7" s="171"/>
      <c r="S7" s="171"/>
      <c r="T7" s="173">
        <f t="shared" ref="T7:T24" si="1">Q7-R7</f>
        <v>0</v>
      </c>
      <c r="U7" s="174"/>
      <c r="V7" s="175"/>
      <c r="W7" s="175"/>
      <c r="X7" s="176"/>
      <c r="Y7" s="178"/>
      <c r="Z7" s="195"/>
      <c r="AA7" s="168"/>
      <c r="AB7" s="168"/>
      <c r="AC7" s="168"/>
    </row>
    <row r="8" spans="1:29" ht="26.25" customHeight="1" x14ac:dyDescent="0.2">
      <c r="A8" s="169">
        <v>2</v>
      </c>
      <c r="B8" s="76"/>
      <c r="C8" s="169"/>
      <c r="D8" s="171"/>
      <c r="E8" s="169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>
        <f t="shared" si="0"/>
        <v>0</v>
      </c>
      <c r="R8" s="171"/>
      <c r="S8" s="171"/>
      <c r="T8" s="173">
        <f t="shared" si="1"/>
        <v>0</v>
      </c>
      <c r="U8" s="174"/>
      <c r="V8" s="175"/>
      <c r="W8" s="175"/>
      <c r="X8" s="177"/>
      <c r="Y8" s="211"/>
      <c r="Z8" s="178"/>
      <c r="AA8" s="168"/>
      <c r="AB8" s="168"/>
      <c r="AC8" s="168"/>
    </row>
    <row r="9" spans="1:29" ht="26.25" customHeight="1" x14ac:dyDescent="0.2">
      <c r="A9" s="169">
        <v>3</v>
      </c>
      <c r="B9" s="75"/>
      <c r="C9" s="169"/>
      <c r="D9" s="171"/>
      <c r="E9" s="169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>
        <f t="shared" si="0"/>
        <v>0</v>
      </c>
      <c r="R9" s="171"/>
      <c r="S9" s="171"/>
      <c r="T9" s="173">
        <f t="shared" si="1"/>
        <v>0</v>
      </c>
      <c r="U9" s="174"/>
      <c r="V9" s="175"/>
      <c r="W9" s="175"/>
      <c r="X9" s="177"/>
      <c r="Y9" s="178"/>
      <c r="Z9" s="178"/>
      <c r="AA9" s="168"/>
      <c r="AB9" s="168"/>
      <c r="AC9" s="168"/>
    </row>
    <row r="10" spans="1:29" ht="26.25" customHeight="1" x14ac:dyDescent="0.2">
      <c r="A10" s="169">
        <v>4</v>
      </c>
      <c r="B10" s="75"/>
      <c r="C10" s="169"/>
      <c r="D10" s="171"/>
      <c r="E10" s="169"/>
      <c r="F10" s="172"/>
      <c r="G10" s="172"/>
      <c r="H10" s="172"/>
      <c r="I10" s="172"/>
      <c r="J10" s="172"/>
      <c r="K10" s="311"/>
      <c r="L10" s="311"/>
      <c r="M10" s="311"/>
      <c r="N10" s="311"/>
      <c r="O10" s="172"/>
      <c r="P10" s="172"/>
      <c r="Q10" s="172">
        <f t="shared" si="0"/>
        <v>0</v>
      </c>
      <c r="R10" s="171"/>
      <c r="S10" s="171"/>
      <c r="T10" s="310">
        <f>Q10-R10</f>
        <v>0</v>
      </c>
      <c r="U10" s="174"/>
      <c r="V10" s="175"/>
      <c r="W10" s="175"/>
      <c r="X10" s="177"/>
      <c r="Y10" s="168"/>
      <c r="Z10" s="168"/>
      <c r="AA10" s="168"/>
      <c r="AB10" s="168"/>
      <c r="AC10" s="168"/>
    </row>
    <row r="11" spans="1:29" ht="26.25" customHeight="1" x14ac:dyDescent="0.2">
      <c r="A11" s="169"/>
      <c r="B11" s="75"/>
      <c r="C11" s="169"/>
      <c r="D11" s="171"/>
      <c r="E11" s="169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>
        <f t="shared" si="0"/>
        <v>0</v>
      </c>
      <c r="R11" s="171"/>
      <c r="S11" s="171"/>
      <c r="T11" s="173">
        <f t="shared" si="1"/>
        <v>0</v>
      </c>
      <c r="U11" s="174"/>
      <c r="V11" s="175"/>
      <c r="W11" s="175"/>
      <c r="X11" s="177"/>
      <c r="Y11" s="168"/>
      <c r="Z11" s="168"/>
      <c r="AA11" s="168"/>
      <c r="AB11" s="191"/>
      <c r="AC11" s="168"/>
    </row>
    <row r="12" spans="1:29" ht="26.25" customHeight="1" x14ac:dyDescent="0.2">
      <c r="A12" s="169">
        <v>5</v>
      </c>
      <c r="B12" s="89"/>
      <c r="C12" s="169"/>
      <c r="D12" s="171"/>
      <c r="E12" s="169"/>
      <c r="F12" s="217"/>
      <c r="G12" s="276"/>
      <c r="H12" s="218"/>
      <c r="I12" s="276"/>
      <c r="J12" s="218"/>
      <c r="K12" s="218"/>
      <c r="L12" s="218"/>
      <c r="M12" s="276"/>
      <c r="N12" s="276"/>
      <c r="O12" s="172"/>
      <c r="P12" s="172"/>
      <c r="Q12" s="172">
        <f t="shared" si="0"/>
        <v>0</v>
      </c>
      <c r="R12" s="171"/>
      <c r="S12" s="171"/>
      <c r="T12" s="173">
        <f t="shared" si="1"/>
        <v>0</v>
      </c>
      <c r="U12" s="174"/>
      <c r="V12" s="175"/>
      <c r="W12" s="275"/>
      <c r="X12" s="179"/>
      <c r="Y12" s="212"/>
      <c r="Z12" s="168"/>
      <c r="AA12" s="168"/>
      <c r="AB12" s="178"/>
      <c r="AC12" s="168"/>
    </row>
    <row r="13" spans="1:29" ht="26.25" customHeight="1" x14ac:dyDescent="0.2">
      <c r="A13" s="169">
        <v>6</v>
      </c>
      <c r="B13" s="75"/>
      <c r="C13" s="169"/>
      <c r="D13" s="171"/>
      <c r="E13" s="169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>
        <f t="shared" si="0"/>
        <v>0</v>
      </c>
      <c r="R13" s="171"/>
      <c r="S13" s="171"/>
      <c r="T13" s="173">
        <f t="shared" si="1"/>
        <v>0</v>
      </c>
      <c r="U13" s="174"/>
      <c r="V13" s="175"/>
      <c r="W13" s="175"/>
      <c r="X13" s="177"/>
      <c r="Y13" s="168"/>
      <c r="Z13" s="168"/>
      <c r="AA13" s="168"/>
      <c r="AB13" s="168"/>
      <c r="AC13" s="168"/>
    </row>
    <row r="14" spans="1:29" ht="26.25" customHeight="1" x14ac:dyDescent="0.2">
      <c r="A14" s="169"/>
      <c r="B14" s="89"/>
      <c r="C14" s="169"/>
      <c r="D14" s="171"/>
      <c r="E14" s="169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>
        <f t="shared" si="0"/>
        <v>0</v>
      </c>
      <c r="R14" s="171"/>
      <c r="S14" s="171"/>
      <c r="T14" s="173">
        <f t="shared" si="1"/>
        <v>0</v>
      </c>
      <c r="U14" s="174"/>
      <c r="V14" s="175"/>
      <c r="W14" s="175"/>
      <c r="X14" s="177"/>
      <c r="Y14" s="168"/>
      <c r="Z14" s="168"/>
      <c r="AA14" s="168"/>
      <c r="AB14" s="168"/>
      <c r="AC14" s="168"/>
    </row>
    <row r="15" spans="1:29" ht="26.25" customHeight="1" x14ac:dyDescent="0.2">
      <c r="A15" s="169">
        <v>7</v>
      </c>
      <c r="B15" s="200"/>
      <c r="C15" s="169"/>
      <c r="D15" s="171"/>
      <c r="E15" s="169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>
        <f t="shared" si="0"/>
        <v>0</v>
      </c>
      <c r="R15" s="171"/>
      <c r="S15" s="171"/>
      <c r="T15" s="173">
        <f t="shared" si="1"/>
        <v>0</v>
      </c>
      <c r="U15" s="174"/>
      <c r="V15" s="175"/>
      <c r="W15" s="175"/>
      <c r="X15" s="177"/>
      <c r="Y15" s="168"/>
      <c r="Z15" s="168"/>
      <c r="AA15" s="168"/>
      <c r="AB15" s="168"/>
      <c r="AC15" s="168"/>
    </row>
    <row r="16" spans="1:29" ht="26.25" customHeight="1" x14ac:dyDescent="0.2">
      <c r="A16" s="169">
        <v>8</v>
      </c>
      <c r="B16" s="89"/>
      <c r="C16" s="169"/>
      <c r="D16" s="171"/>
      <c r="E16" s="169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>
        <f t="shared" si="0"/>
        <v>0</v>
      </c>
      <c r="R16" s="171"/>
      <c r="S16" s="171"/>
      <c r="T16" s="173">
        <f t="shared" si="1"/>
        <v>0</v>
      </c>
      <c r="U16" s="174"/>
      <c r="V16" s="175"/>
      <c r="W16" s="175"/>
      <c r="X16" s="177"/>
      <c r="Y16" s="168"/>
      <c r="Z16" s="178" t="e">
        <f>30000+11000+21500+8500+#REF!+#REF!+#REF!+#REF!</f>
        <v>#REF!</v>
      </c>
      <c r="AA16" s="168"/>
      <c r="AB16" s="168"/>
      <c r="AC16" s="168"/>
    </row>
    <row r="17" spans="1:29" ht="26.25" customHeight="1" x14ac:dyDescent="0.2">
      <c r="A17" s="169">
        <v>9</v>
      </c>
      <c r="B17" s="89"/>
      <c r="C17" s="169"/>
      <c r="D17" s="171"/>
      <c r="E17" s="169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>
        <f t="shared" si="0"/>
        <v>0</v>
      </c>
      <c r="R17" s="171"/>
      <c r="S17" s="171"/>
      <c r="T17" s="173">
        <f t="shared" si="1"/>
        <v>0</v>
      </c>
      <c r="U17" s="174"/>
      <c r="V17" s="175"/>
      <c r="W17" s="175"/>
      <c r="X17" s="177"/>
      <c r="Y17" s="168"/>
      <c r="Z17" s="168">
        <v>20000</v>
      </c>
      <c r="AA17" s="168"/>
      <c r="AB17" s="168"/>
      <c r="AC17" s="168"/>
    </row>
    <row r="18" spans="1:29" ht="26.25" customHeight="1" x14ac:dyDescent="0.2">
      <c r="A18" s="169">
        <v>10</v>
      </c>
      <c r="B18" s="89"/>
      <c r="C18" s="169"/>
      <c r="D18" s="171"/>
      <c r="E18" s="169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>
        <f t="shared" si="0"/>
        <v>0</v>
      </c>
      <c r="R18" s="171"/>
      <c r="S18" s="171"/>
      <c r="T18" s="173">
        <f t="shared" si="1"/>
        <v>0</v>
      </c>
      <c r="U18" s="174"/>
      <c r="V18" s="175"/>
      <c r="W18" s="175"/>
      <c r="X18" s="177"/>
      <c r="Y18" s="178"/>
      <c r="Z18" s="168">
        <v>7000</v>
      </c>
      <c r="AA18" s="168"/>
      <c r="AB18" s="168"/>
      <c r="AC18" s="168"/>
    </row>
    <row r="19" spans="1:29" ht="26.25" customHeight="1" x14ac:dyDescent="0.2">
      <c r="A19" s="169">
        <v>11</v>
      </c>
      <c r="B19" s="76"/>
      <c r="C19" s="169"/>
      <c r="D19" s="171"/>
      <c r="E19" s="169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>
        <f t="shared" si="0"/>
        <v>0</v>
      </c>
      <c r="R19" s="171"/>
      <c r="S19" s="171"/>
      <c r="T19" s="173">
        <f t="shared" si="1"/>
        <v>0</v>
      </c>
      <c r="U19" s="174"/>
      <c r="V19" s="175"/>
      <c r="W19" s="175"/>
      <c r="X19" s="177"/>
      <c r="Y19" s="168"/>
      <c r="Z19" s="168">
        <v>12000</v>
      </c>
      <c r="AA19" s="168"/>
      <c r="AB19" s="168"/>
      <c r="AC19" s="168"/>
    </row>
    <row r="20" spans="1:29" ht="26.25" customHeight="1" x14ac:dyDescent="0.2">
      <c r="A20" s="169">
        <v>12</v>
      </c>
      <c r="B20" s="76"/>
      <c r="C20" s="169"/>
      <c r="D20" s="171"/>
      <c r="E20" s="169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>
        <f t="shared" si="0"/>
        <v>0</v>
      </c>
      <c r="R20" s="171"/>
      <c r="S20" s="171"/>
      <c r="T20" s="173">
        <f t="shared" si="1"/>
        <v>0</v>
      </c>
      <c r="U20" s="174"/>
      <c r="V20" s="175"/>
      <c r="W20" s="175"/>
      <c r="X20" s="177"/>
      <c r="Y20" s="168"/>
      <c r="Z20" s="168">
        <v>40000</v>
      </c>
      <c r="AA20" s="168"/>
      <c r="AB20" s="168"/>
      <c r="AC20" s="168"/>
    </row>
    <row r="21" spans="1:29" ht="26.25" customHeight="1" x14ac:dyDescent="0.2">
      <c r="A21" s="169">
        <v>13</v>
      </c>
      <c r="B21" s="76"/>
      <c r="C21" s="169"/>
      <c r="D21" s="171"/>
      <c r="E21" s="169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>
        <f t="shared" si="0"/>
        <v>0</v>
      </c>
      <c r="R21" s="171"/>
      <c r="S21" s="171"/>
      <c r="T21" s="173">
        <f t="shared" si="1"/>
        <v>0</v>
      </c>
      <c r="U21" s="174"/>
      <c r="V21" s="175"/>
      <c r="W21" s="175"/>
      <c r="X21" s="177"/>
      <c r="Y21" s="168"/>
      <c r="Z21" s="178" t="e">
        <f>Z16+Z17+Z18+Z19+Z20</f>
        <v>#REF!</v>
      </c>
      <c r="AA21" s="168"/>
      <c r="AB21" s="168"/>
      <c r="AC21" s="168"/>
    </row>
    <row r="22" spans="1:29" ht="26.1" customHeight="1" x14ac:dyDescent="0.2">
      <c r="A22" s="169">
        <v>14</v>
      </c>
      <c r="B22" s="76"/>
      <c r="C22" s="169"/>
      <c r="D22" s="171"/>
      <c r="E22" s="169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>
        <f t="shared" si="0"/>
        <v>0</v>
      </c>
      <c r="R22" s="277"/>
      <c r="S22" s="277"/>
      <c r="T22" s="173">
        <f t="shared" si="1"/>
        <v>0</v>
      </c>
      <c r="U22" s="278"/>
      <c r="V22" s="279"/>
      <c r="W22" s="279"/>
      <c r="X22" s="280"/>
      <c r="Y22" s="296"/>
      <c r="Z22" s="296"/>
      <c r="AA22" s="296"/>
      <c r="AB22" s="296"/>
      <c r="AC22" s="296"/>
    </row>
    <row r="23" spans="1:29" ht="26.1" customHeight="1" x14ac:dyDescent="0.2">
      <c r="A23" s="169">
        <v>15</v>
      </c>
      <c r="B23" s="76"/>
      <c r="C23" s="180"/>
      <c r="D23" s="171"/>
      <c r="E23" s="169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>
        <f t="shared" si="0"/>
        <v>0</v>
      </c>
      <c r="R23" s="277"/>
      <c r="S23" s="277"/>
      <c r="T23" s="173">
        <f t="shared" si="1"/>
        <v>0</v>
      </c>
      <c r="U23" s="278"/>
      <c r="V23" s="279"/>
      <c r="W23" s="279"/>
      <c r="X23" s="280"/>
      <c r="Y23" s="304"/>
      <c r="Z23" s="304"/>
      <c r="AA23" s="296"/>
      <c r="AB23" s="296"/>
      <c r="AC23" s="296"/>
    </row>
    <row r="24" spans="1:29" ht="26.1" customHeight="1" x14ac:dyDescent="0.2">
      <c r="A24" s="169">
        <v>16</v>
      </c>
      <c r="B24" s="170"/>
      <c r="C24" s="180"/>
      <c r="D24" s="171"/>
      <c r="E24" s="169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233"/>
      <c r="R24" s="277"/>
      <c r="S24" s="277"/>
      <c r="T24" s="173">
        <f t="shared" si="1"/>
        <v>0</v>
      </c>
      <c r="U24" s="234"/>
      <c r="V24" s="235"/>
      <c r="W24" s="235"/>
      <c r="X24" s="281"/>
      <c r="Y24" s="296"/>
      <c r="Z24" s="296"/>
      <c r="AA24" s="296"/>
      <c r="AB24" s="296"/>
      <c r="AC24" s="296"/>
    </row>
    <row r="25" spans="1:29" ht="26.1" customHeight="1" x14ac:dyDescent="0.2">
      <c r="A25" s="169">
        <v>17</v>
      </c>
      <c r="B25" s="113"/>
      <c r="C25" s="169"/>
      <c r="D25" s="171"/>
      <c r="E25" s="192"/>
      <c r="F25" s="233"/>
      <c r="G25" s="172"/>
      <c r="H25" s="172"/>
      <c r="I25" s="181"/>
      <c r="J25" s="172"/>
      <c r="K25" s="171"/>
      <c r="L25" s="171"/>
      <c r="M25" s="171"/>
      <c r="N25" s="171"/>
      <c r="O25" s="171"/>
      <c r="P25" s="171"/>
      <c r="Q25" s="233"/>
      <c r="R25" s="277"/>
      <c r="S25" s="277"/>
      <c r="T25" s="244"/>
      <c r="U25" s="282"/>
      <c r="V25" s="283"/>
      <c r="W25" s="283"/>
      <c r="X25" s="281"/>
      <c r="Y25" s="296"/>
      <c r="Z25" s="296"/>
      <c r="AA25" s="296"/>
      <c r="AB25" s="296"/>
      <c r="AC25" s="296"/>
    </row>
    <row r="26" spans="1:29" ht="26.1" customHeight="1" x14ac:dyDescent="0.2">
      <c r="A26" s="169">
        <v>18</v>
      </c>
      <c r="B26" s="75"/>
      <c r="C26" s="180"/>
      <c r="D26" s="171"/>
      <c r="E26" s="169"/>
      <c r="F26" s="172"/>
      <c r="G26" s="172"/>
      <c r="H26" s="172"/>
      <c r="I26" s="181"/>
      <c r="J26" s="172"/>
      <c r="K26" s="171"/>
      <c r="L26" s="171"/>
      <c r="M26" s="171"/>
      <c r="N26" s="171"/>
      <c r="O26" s="171"/>
      <c r="P26" s="171"/>
      <c r="Q26" s="233"/>
      <c r="R26" s="277"/>
      <c r="S26" s="277"/>
      <c r="T26" s="244"/>
      <c r="U26" s="284"/>
      <c r="V26" s="285"/>
      <c r="W26" s="285"/>
      <c r="X26" s="281"/>
      <c r="Y26" s="305"/>
      <c r="Z26" s="304"/>
      <c r="AA26" s="304"/>
      <c r="AB26" s="304"/>
      <c r="AC26" s="296"/>
    </row>
    <row r="27" spans="1:29" ht="26.1" customHeight="1" x14ac:dyDescent="0.2">
      <c r="A27" s="169"/>
      <c r="B27" s="75"/>
      <c r="C27" s="229"/>
      <c r="D27" s="172"/>
      <c r="E27" s="169"/>
      <c r="F27" s="182"/>
      <c r="G27" s="172"/>
      <c r="H27" s="172"/>
      <c r="I27" s="181"/>
      <c r="J27" s="172"/>
      <c r="K27" s="171"/>
      <c r="L27" s="171"/>
      <c r="M27" s="171"/>
      <c r="N27" s="171"/>
      <c r="O27" s="171"/>
      <c r="P27" s="171"/>
      <c r="Q27" s="233"/>
      <c r="R27" s="277"/>
      <c r="S27" s="277"/>
      <c r="T27" s="244"/>
      <c r="U27" s="284"/>
      <c r="V27" s="285"/>
      <c r="W27" s="285"/>
      <c r="X27" s="281"/>
      <c r="Y27" s="237"/>
      <c r="Z27" s="294"/>
      <c r="AA27" s="296"/>
      <c r="AB27" s="296"/>
      <c r="AC27" s="296"/>
    </row>
    <row r="28" spans="1:29" ht="26.1" customHeight="1" x14ac:dyDescent="0.2">
      <c r="A28" s="180"/>
      <c r="B28" s="75"/>
      <c r="C28" s="230"/>
      <c r="D28" s="181"/>
      <c r="E28" s="180"/>
      <c r="F28" s="183"/>
      <c r="G28" s="181"/>
      <c r="H28" s="172"/>
      <c r="I28" s="181"/>
      <c r="J28" s="172"/>
      <c r="K28" s="171"/>
      <c r="L28" s="171"/>
      <c r="M28" s="171"/>
      <c r="N28" s="171"/>
      <c r="O28" s="171"/>
      <c r="P28" s="171"/>
      <c r="Q28" s="233"/>
      <c r="R28" s="277"/>
      <c r="S28" s="277"/>
      <c r="T28" s="244"/>
      <c r="U28" s="284"/>
      <c r="V28" s="285"/>
      <c r="W28" s="285"/>
      <c r="X28" s="281"/>
      <c r="Y28" s="237"/>
      <c r="Z28" s="245"/>
      <c r="AA28" s="304"/>
      <c r="AB28" s="296"/>
      <c r="AC28" s="296"/>
    </row>
    <row r="29" spans="1:29" ht="26.1" customHeight="1" x14ac:dyDescent="0.2">
      <c r="A29" s="180"/>
      <c r="B29" s="75"/>
      <c r="C29" s="230"/>
      <c r="D29" s="181"/>
      <c r="E29" s="180"/>
      <c r="F29" s="183"/>
      <c r="G29" s="181"/>
      <c r="H29" s="172"/>
      <c r="I29" s="181"/>
      <c r="J29" s="172"/>
      <c r="K29" s="171"/>
      <c r="L29" s="171"/>
      <c r="M29" s="171"/>
      <c r="N29" s="171"/>
      <c r="O29" s="171"/>
      <c r="P29" s="171"/>
      <c r="Q29" s="233"/>
      <c r="R29" s="277"/>
      <c r="S29" s="277"/>
      <c r="T29" s="244"/>
      <c r="U29" s="284"/>
      <c r="V29" s="285"/>
      <c r="W29" s="285"/>
      <c r="X29" s="281"/>
      <c r="Y29" s="237"/>
      <c r="Z29" s="294"/>
      <c r="AA29" s="296"/>
      <c r="AB29" s="296"/>
      <c r="AC29" s="296"/>
    </row>
    <row r="30" spans="1:29" ht="26.1" customHeight="1" x14ac:dyDescent="0.2">
      <c r="A30" s="184">
        <v>1</v>
      </c>
      <c r="B30" s="75"/>
      <c r="C30" s="231"/>
      <c r="D30" s="172"/>
      <c r="E30" s="172"/>
      <c r="F30" s="172"/>
      <c r="G30" s="172"/>
      <c r="H30" s="172"/>
      <c r="I30" s="181"/>
      <c r="J30" s="172"/>
      <c r="K30" s="171"/>
      <c r="L30" s="171"/>
      <c r="M30" s="171"/>
      <c r="N30" s="171"/>
      <c r="O30" s="171"/>
      <c r="P30" s="171"/>
      <c r="Q30" s="233"/>
      <c r="R30" s="277"/>
      <c r="S30" s="277"/>
      <c r="T30" s="244"/>
      <c r="U30" s="284"/>
      <c r="V30" s="285"/>
      <c r="W30" s="285"/>
      <c r="X30" s="281"/>
      <c r="Y30" s="237"/>
      <c r="Z30" s="296"/>
      <c r="AA30" s="296"/>
      <c r="AB30" s="296"/>
      <c r="AC30" s="296"/>
    </row>
    <row r="31" spans="1:29" ht="26.1" customHeight="1" x14ac:dyDescent="0.2">
      <c r="A31" s="169">
        <v>2</v>
      </c>
      <c r="B31" s="75"/>
      <c r="C31" s="232"/>
      <c r="D31" s="172"/>
      <c r="E31" s="172"/>
      <c r="F31" s="172"/>
      <c r="G31" s="172"/>
      <c r="H31" s="172"/>
      <c r="I31" s="181"/>
      <c r="J31" s="172"/>
      <c r="K31" s="171"/>
      <c r="L31" s="171"/>
      <c r="M31" s="171"/>
      <c r="N31" s="171"/>
      <c r="O31" s="171"/>
      <c r="P31" s="171"/>
      <c r="Q31" s="233"/>
      <c r="R31" s="277"/>
      <c r="S31" s="277"/>
      <c r="T31" s="244"/>
      <c r="U31" s="284"/>
      <c r="V31" s="285"/>
      <c r="W31" s="285"/>
      <c r="X31" s="281"/>
      <c r="Y31" s="237"/>
      <c r="Z31" s="296"/>
      <c r="AA31" s="296"/>
      <c r="AB31" s="296"/>
      <c r="AC31" s="296"/>
    </row>
    <row r="32" spans="1:29" ht="26.1" customHeight="1" x14ac:dyDescent="0.2">
      <c r="A32" s="169">
        <v>3</v>
      </c>
      <c r="B32" s="75"/>
      <c r="C32" s="169"/>
      <c r="D32" s="172"/>
      <c r="E32" s="172"/>
      <c r="F32" s="172"/>
      <c r="G32" s="172"/>
      <c r="H32" s="172"/>
      <c r="I32" s="172"/>
      <c r="J32" s="172"/>
      <c r="K32" s="172"/>
      <c r="L32" s="172"/>
      <c r="M32" s="171"/>
      <c r="N32" s="171"/>
      <c r="O32" s="171"/>
      <c r="P32" s="171"/>
      <c r="Q32" s="233"/>
      <c r="R32" s="277"/>
      <c r="S32" s="277"/>
      <c r="T32" s="244"/>
      <c r="U32" s="284"/>
      <c r="V32" s="186"/>
      <c r="W32" s="186"/>
      <c r="X32" s="281"/>
      <c r="Y32" s="305"/>
      <c r="Z32" s="296"/>
      <c r="AA32" s="296"/>
      <c r="AB32" s="296"/>
      <c r="AC32" s="296"/>
    </row>
    <row r="33" spans="1:29" ht="26.1" customHeight="1" x14ac:dyDescent="0.2">
      <c r="A33" s="169"/>
      <c r="B33" s="75"/>
      <c r="C33" s="169"/>
      <c r="D33" s="172"/>
      <c r="E33" s="172"/>
      <c r="F33" s="172"/>
      <c r="G33" s="172"/>
      <c r="H33" s="172"/>
      <c r="I33" s="172"/>
      <c r="J33" s="172"/>
      <c r="K33" s="172"/>
      <c r="L33" s="172"/>
      <c r="M33" s="171"/>
      <c r="N33" s="171"/>
      <c r="O33" s="171"/>
      <c r="P33" s="171"/>
      <c r="Q33" s="233"/>
      <c r="R33" s="277"/>
      <c r="S33" s="277"/>
      <c r="T33" s="244"/>
      <c r="U33" s="284"/>
      <c r="V33" s="186"/>
      <c r="W33" s="186"/>
      <c r="X33" s="281"/>
      <c r="Y33" s="305"/>
      <c r="Z33" s="296"/>
      <c r="AA33" s="296"/>
      <c r="AB33" s="296"/>
      <c r="AC33" s="296"/>
    </row>
    <row r="34" spans="1:29" ht="26.1" customHeight="1" x14ac:dyDescent="0.2">
      <c r="A34" s="169"/>
      <c r="B34" s="170"/>
      <c r="C34" s="169"/>
      <c r="D34" s="172"/>
      <c r="E34" s="172"/>
      <c r="F34" s="172"/>
      <c r="G34" s="172"/>
      <c r="H34" s="172"/>
      <c r="I34" s="172"/>
      <c r="J34" s="172"/>
      <c r="K34" s="172"/>
      <c r="L34" s="172"/>
      <c r="M34" s="171"/>
      <c r="N34" s="171"/>
      <c r="O34" s="171"/>
      <c r="P34" s="171"/>
      <c r="Q34" s="233"/>
      <c r="R34" s="277"/>
      <c r="S34" s="277"/>
      <c r="T34" s="244"/>
      <c r="U34" s="185"/>
      <c r="V34" s="186"/>
      <c r="W34" s="186"/>
      <c r="X34" s="281"/>
      <c r="Y34" s="304"/>
      <c r="Z34" s="296"/>
      <c r="AA34" s="296"/>
      <c r="AB34" s="296"/>
      <c r="AC34" s="296"/>
    </row>
    <row r="35" spans="1:29" ht="26.1" customHeight="1" x14ac:dyDescent="0.2">
      <c r="A35" s="169"/>
      <c r="B35" s="170"/>
      <c r="C35" s="169"/>
      <c r="D35" s="172"/>
      <c r="E35" s="172"/>
      <c r="F35" s="172"/>
      <c r="G35" s="172"/>
      <c r="H35" s="172"/>
      <c r="I35" s="172"/>
      <c r="J35" s="172"/>
      <c r="K35" s="172"/>
      <c r="L35" s="172"/>
      <c r="M35" s="171"/>
      <c r="N35" s="171"/>
      <c r="O35" s="171"/>
      <c r="P35" s="171"/>
      <c r="Q35" s="233"/>
      <c r="R35" s="277"/>
      <c r="S35" s="277"/>
      <c r="T35" s="244"/>
      <c r="U35" s="185"/>
      <c r="V35" s="186"/>
      <c r="W35" s="186"/>
      <c r="X35" s="281"/>
      <c r="Y35" s="304"/>
      <c r="Z35" s="296"/>
      <c r="AA35" s="296"/>
      <c r="AB35" s="296"/>
      <c r="AC35" s="296"/>
    </row>
    <row r="36" spans="1:29" ht="26.1" customHeight="1" x14ac:dyDescent="0.2">
      <c r="A36" s="169"/>
      <c r="B36" s="170"/>
      <c r="C36" s="169"/>
      <c r="D36" s="172"/>
      <c r="E36" s="172"/>
      <c r="F36" s="172"/>
      <c r="G36" s="172"/>
      <c r="H36" s="172"/>
      <c r="I36" s="172"/>
      <c r="J36" s="172"/>
      <c r="K36" s="172"/>
      <c r="L36" s="172"/>
      <c r="M36" s="171"/>
      <c r="N36" s="171"/>
      <c r="O36" s="171"/>
      <c r="P36" s="171"/>
      <c r="Q36" s="233"/>
      <c r="R36" s="277"/>
      <c r="S36" s="277"/>
      <c r="T36" s="244"/>
      <c r="U36" s="185"/>
      <c r="V36" s="186"/>
      <c r="W36" s="186"/>
      <c r="X36" s="281"/>
      <c r="Y36" s="304"/>
      <c r="Z36" s="296"/>
      <c r="AA36" s="296"/>
      <c r="AB36" s="296"/>
      <c r="AC36" s="296"/>
    </row>
    <row r="37" spans="1:29" ht="26.1" customHeight="1" x14ac:dyDescent="0.2">
      <c r="A37" s="169"/>
      <c r="B37" s="170"/>
      <c r="C37" s="169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233"/>
      <c r="R37" s="277"/>
      <c r="S37" s="277"/>
      <c r="T37" s="233"/>
      <c r="U37" s="234"/>
      <c r="V37" s="235"/>
      <c r="W37" s="235"/>
      <c r="X37" s="286"/>
      <c r="Y37" s="296"/>
      <c r="Z37" s="296"/>
      <c r="AA37" s="296"/>
      <c r="AB37" s="296"/>
      <c r="AC37" s="296"/>
    </row>
    <row r="38" spans="1:29" ht="26.1" customHeight="1" x14ac:dyDescent="0.2">
      <c r="A38" s="118">
        <v>4</v>
      </c>
      <c r="B38" s="196" t="s">
        <v>32</v>
      </c>
      <c r="C38" s="118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233"/>
      <c r="R38" s="287"/>
      <c r="S38" s="287"/>
      <c r="T38" s="236"/>
      <c r="U38" s="288"/>
      <c r="V38" s="289"/>
      <c r="W38" s="289"/>
      <c r="X38" s="290"/>
      <c r="Y38" s="296"/>
      <c r="Z38" s="296"/>
      <c r="AA38" s="296"/>
      <c r="AB38" s="296"/>
      <c r="AC38" s="296"/>
    </row>
    <row r="39" spans="1:29" ht="26.1" customHeight="1" x14ac:dyDescent="0.2">
      <c r="A39" s="118">
        <v>5</v>
      </c>
      <c r="B39" s="187"/>
      <c r="C39" s="118"/>
      <c r="D39" s="119"/>
      <c r="E39" s="119" t="s">
        <v>29</v>
      </c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233"/>
      <c r="R39" s="287"/>
      <c r="S39" s="287"/>
      <c r="T39" s="291"/>
      <c r="U39" s="288"/>
      <c r="V39" s="289"/>
      <c r="W39" s="289"/>
      <c r="X39" s="292"/>
      <c r="Y39" s="296"/>
      <c r="Z39" s="296"/>
      <c r="AA39" s="296"/>
      <c r="AB39" s="191"/>
      <c r="AC39" s="296"/>
    </row>
    <row r="40" spans="1:29" ht="26.1" customHeight="1" x14ac:dyDescent="0.2">
      <c r="A40" s="118">
        <v>1</v>
      </c>
      <c r="B40" s="187"/>
      <c r="C40" s="118"/>
      <c r="D40" s="119"/>
      <c r="E40" s="119"/>
      <c r="F40" s="119"/>
      <c r="G40" s="119"/>
      <c r="H40" s="213"/>
      <c r="I40" s="215"/>
      <c r="J40" s="119"/>
      <c r="K40" s="119"/>
      <c r="L40" s="119"/>
      <c r="M40" s="119"/>
      <c r="N40" s="119"/>
      <c r="O40" s="119"/>
      <c r="P40" s="119"/>
      <c r="Q40" s="233"/>
      <c r="R40" s="287"/>
      <c r="S40" s="287"/>
      <c r="T40" s="291"/>
      <c r="U40" s="288"/>
      <c r="V40" s="289"/>
      <c r="W40" s="289"/>
      <c r="X40" s="292"/>
      <c r="Y40" s="296"/>
      <c r="Z40" s="296"/>
      <c r="AA40" s="296"/>
      <c r="AB40" s="296"/>
      <c r="AC40" s="296"/>
    </row>
    <row r="41" spans="1:29" ht="26.1" customHeight="1" x14ac:dyDescent="0.2">
      <c r="A41" s="188">
        <v>2</v>
      </c>
      <c r="B41" s="187"/>
      <c r="C41" s="188"/>
      <c r="D41" s="189"/>
      <c r="E41" s="188"/>
      <c r="F41" s="190"/>
      <c r="G41" s="189"/>
      <c r="H41" s="214"/>
      <c r="I41" s="216"/>
      <c r="J41" s="119"/>
      <c r="K41" s="119"/>
      <c r="L41" s="119"/>
      <c r="M41" s="119"/>
      <c r="N41" s="119"/>
      <c r="O41" s="119"/>
      <c r="P41" s="119"/>
      <c r="Q41" s="233"/>
      <c r="R41" s="287"/>
      <c r="S41" s="287"/>
      <c r="T41" s="293"/>
      <c r="U41" s="237"/>
      <c r="V41" s="294"/>
      <c r="W41" s="294"/>
      <c r="X41" s="292"/>
      <c r="Y41" s="296"/>
      <c r="Z41" s="296"/>
      <c r="AA41" s="296"/>
      <c r="AB41" s="296"/>
      <c r="AC41" s="296"/>
    </row>
    <row r="42" spans="1:29" ht="26.1" customHeight="1" x14ac:dyDescent="0.2">
      <c r="A42" s="188">
        <v>3</v>
      </c>
      <c r="B42" s="187"/>
      <c r="C42" s="188"/>
      <c r="D42" s="189"/>
      <c r="E42" s="188"/>
      <c r="F42" s="190"/>
      <c r="G42" s="189"/>
      <c r="H42" s="214"/>
      <c r="I42" s="216"/>
      <c r="J42" s="119"/>
      <c r="K42" s="119"/>
      <c r="L42" s="119"/>
      <c r="M42" s="119"/>
      <c r="N42" s="119"/>
      <c r="O42" s="119"/>
      <c r="P42" s="119"/>
      <c r="Q42" s="233"/>
      <c r="R42" s="287"/>
      <c r="S42" s="287"/>
      <c r="T42" s="293"/>
      <c r="U42" s="237"/>
      <c r="V42" s="294"/>
      <c r="W42" s="294"/>
      <c r="X42" s="292"/>
      <c r="Y42" s="296"/>
      <c r="Z42" s="296"/>
      <c r="AA42" s="296"/>
      <c r="AB42" s="296"/>
      <c r="AC42" s="296"/>
    </row>
    <row r="43" spans="1:29" ht="26.1" customHeight="1" x14ac:dyDescent="0.2">
      <c r="A43" s="188">
        <v>4</v>
      </c>
      <c r="B43" s="187"/>
      <c r="C43" s="188"/>
      <c r="D43" s="189"/>
      <c r="E43" s="188"/>
      <c r="F43" s="190"/>
      <c r="G43" s="189"/>
      <c r="H43" s="214"/>
      <c r="I43" s="216"/>
      <c r="J43" s="119"/>
      <c r="K43" s="119"/>
      <c r="L43" s="119"/>
      <c r="M43" s="119"/>
      <c r="N43" s="119"/>
      <c r="O43" s="119"/>
      <c r="P43" s="119"/>
      <c r="Q43" s="295"/>
      <c r="R43" s="287"/>
      <c r="S43" s="287"/>
      <c r="T43" s="293"/>
      <c r="U43" s="237"/>
      <c r="V43" s="294"/>
      <c r="W43" s="294"/>
      <c r="X43" s="292"/>
      <c r="Y43" s="296"/>
      <c r="Z43" s="296"/>
      <c r="AA43" s="296"/>
      <c r="AB43" s="296"/>
      <c r="AC43" s="296"/>
    </row>
    <row r="44" spans="1:29" ht="26.1" customHeight="1" x14ac:dyDescent="0.2">
      <c r="A44" s="188">
        <v>5</v>
      </c>
      <c r="B44" s="187"/>
      <c r="C44" s="188"/>
      <c r="D44" s="189"/>
      <c r="E44" s="188"/>
      <c r="F44" s="190"/>
      <c r="G44" s="189"/>
      <c r="H44" s="214"/>
      <c r="I44" s="216"/>
      <c r="J44" s="119"/>
      <c r="K44" s="119"/>
      <c r="L44" s="119"/>
      <c r="M44" s="119"/>
      <c r="N44" s="119"/>
      <c r="O44" s="119"/>
      <c r="P44" s="119"/>
      <c r="Q44" s="295"/>
      <c r="R44" s="287"/>
      <c r="S44" s="287"/>
      <c r="T44" s="293"/>
      <c r="U44" s="237"/>
      <c r="V44" s="296"/>
      <c r="W44" s="296"/>
      <c r="X44" s="297"/>
      <c r="Y44" s="296"/>
      <c r="Z44" s="296"/>
      <c r="AA44" s="296"/>
      <c r="AB44" s="296"/>
      <c r="AC44" s="296"/>
    </row>
    <row r="45" spans="1:29" ht="26.1" customHeight="1" x14ac:dyDescent="0.2">
      <c r="A45" s="188"/>
      <c r="B45" s="187"/>
      <c r="C45" s="188"/>
      <c r="D45" s="189"/>
      <c r="E45" s="188"/>
      <c r="F45" s="190"/>
      <c r="G45" s="189"/>
      <c r="H45" s="189"/>
      <c r="I45" s="189"/>
      <c r="J45" s="119"/>
      <c r="K45" s="119"/>
      <c r="L45" s="119"/>
      <c r="M45" s="119"/>
      <c r="N45" s="119"/>
      <c r="O45" s="119"/>
      <c r="P45" s="119"/>
      <c r="Q45" s="295"/>
      <c r="R45" s="287"/>
      <c r="S45" s="287"/>
      <c r="T45" s="293"/>
      <c r="U45" s="237"/>
      <c r="V45" s="296"/>
      <c r="W45" s="296"/>
      <c r="X45" s="297"/>
      <c r="Y45" s="296"/>
      <c r="Z45" s="296"/>
      <c r="AA45" s="296"/>
      <c r="AB45" s="296"/>
      <c r="AC45" s="296"/>
    </row>
    <row r="46" spans="1:29" ht="26.1" customHeight="1" x14ac:dyDescent="0.2">
      <c r="A46" s="188"/>
      <c r="B46" s="187"/>
      <c r="C46" s="188"/>
      <c r="D46" s="189"/>
      <c r="E46" s="188"/>
      <c r="F46" s="190"/>
      <c r="G46" s="189"/>
      <c r="H46" s="189"/>
      <c r="I46" s="189"/>
      <c r="J46" s="119"/>
      <c r="K46" s="119"/>
      <c r="L46" s="119"/>
      <c r="M46" s="119"/>
      <c r="N46" s="119"/>
      <c r="O46" s="119"/>
      <c r="P46" s="119"/>
      <c r="Q46" s="295"/>
      <c r="R46" s="287"/>
      <c r="S46" s="287"/>
      <c r="T46" s="293"/>
      <c r="U46" s="237"/>
      <c r="V46" s="296"/>
      <c r="W46" s="296"/>
      <c r="X46" s="297"/>
      <c r="Y46" s="296"/>
      <c r="Z46" s="296"/>
      <c r="AA46" s="296"/>
      <c r="AB46" s="296"/>
      <c r="AC46" s="296"/>
    </row>
    <row r="47" spans="1:29" ht="26.1" customHeight="1" x14ac:dyDescent="0.2">
      <c r="A47" s="188"/>
      <c r="B47" s="187"/>
      <c r="C47" s="188"/>
      <c r="D47" s="189"/>
      <c r="E47" s="188"/>
      <c r="F47" s="190"/>
      <c r="G47" s="189"/>
      <c r="H47" s="189"/>
      <c r="I47" s="189"/>
      <c r="J47" s="119"/>
      <c r="K47" s="119"/>
      <c r="L47" s="119"/>
      <c r="M47" s="119"/>
      <c r="N47" s="119"/>
      <c r="O47" s="119"/>
      <c r="P47" s="119"/>
      <c r="Q47" s="295"/>
      <c r="R47" s="287"/>
      <c r="S47" s="287"/>
      <c r="T47" s="293"/>
      <c r="U47" s="237"/>
      <c r="V47" s="296"/>
      <c r="W47" s="296"/>
      <c r="X47" s="297"/>
      <c r="Y47" s="296"/>
      <c r="Z47" s="296"/>
      <c r="AA47" s="296"/>
      <c r="AB47" s="296"/>
      <c r="AC47" s="296"/>
    </row>
    <row r="48" spans="1:29" ht="26.1" customHeight="1" x14ac:dyDescent="0.2">
      <c r="A48" s="89"/>
      <c r="B48" s="117"/>
      <c r="C48" s="89"/>
      <c r="D48" s="87"/>
      <c r="E48" s="89"/>
      <c r="F48" s="94"/>
      <c r="G48" s="87"/>
      <c r="H48" s="87"/>
      <c r="I48" s="87"/>
      <c r="J48" s="86"/>
      <c r="K48" s="86"/>
      <c r="L48" s="86"/>
      <c r="M48" s="86"/>
      <c r="N48" s="86"/>
      <c r="O48" s="86"/>
      <c r="P48" s="86"/>
      <c r="Q48" s="298"/>
      <c r="R48" s="299"/>
      <c r="S48" s="299"/>
      <c r="T48" s="300"/>
      <c r="U48" s="301"/>
      <c r="V48" s="302"/>
      <c r="W48" s="302"/>
      <c r="X48" s="303"/>
      <c r="Y48" s="302"/>
      <c r="Z48" s="302"/>
      <c r="AA48" s="302"/>
      <c r="AB48" s="302"/>
      <c r="AC48" s="302"/>
    </row>
    <row r="49" spans="1:29" x14ac:dyDescent="0.2">
      <c r="A49" s="89"/>
      <c r="B49" s="117"/>
      <c r="C49" s="89"/>
      <c r="D49" s="87"/>
      <c r="E49" s="89"/>
      <c r="F49" s="94"/>
      <c r="G49" s="87"/>
      <c r="H49" s="87"/>
      <c r="I49" s="87"/>
      <c r="J49" s="86"/>
      <c r="K49" s="86"/>
      <c r="L49" s="86"/>
      <c r="M49" s="86"/>
      <c r="N49" s="86"/>
      <c r="O49" s="86"/>
      <c r="P49" s="86"/>
      <c r="Q49" s="94"/>
      <c r="R49" s="88"/>
      <c r="S49" s="88"/>
      <c r="T49" s="101"/>
      <c r="U49" s="89"/>
      <c r="Y49" s="302"/>
      <c r="Z49" s="302"/>
      <c r="AA49" s="302"/>
      <c r="AB49" s="302"/>
      <c r="AC49" s="302"/>
    </row>
    <row r="50" spans="1:29" x14ac:dyDescent="0.2">
      <c r="A50" s="89"/>
      <c r="B50" s="117"/>
      <c r="C50" s="89"/>
      <c r="D50" s="87"/>
      <c r="E50" s="89"/>
      <c r="F50" s="94"/>
      <c r="G50" s="87"/>
      <c r="H50" s="87"/>
      <c r="I50" s="87"/>
      <c r="J50" s="86"/>
      <c r="K50" s="86"/>
      <c r="L50" s="86"/>
      <c r="M50" s="86"/>
      <c r="N50" s="86"/>
      <c r="O50" s="86"/>
      <c r="P50" s="86"/>
      <c r="Q50" s="94"/>
      <c r="R50" s="88"/>
      <c r="S50" s="88"/>
      <c r="T50" s="101"/>
      <c r="U50" s="89"/>
      <c r="Y50" s="302"/>
      <c r="Z50" s="302"/>
      <c r="AA50" s="302"/>
      <c r="AB50" s="302"/>
      <c r="AC50" s="302"/>
    </row>
    <row r="51" spans="1:29" x14ac:dyDescent="0.2">
      <c r="A51" s="89"/>
      <c r="B51" s="117"/>
      <c r="C51" s="89"/>
      <c r="D51" s="87"/>
      <c r="E51" s="89"/>
      <c r="F51" s="94"/>
      <c r="G51" s="87"/>
      <c r="H51" s="87"/>
      <c r="I51" s="87"/>
      <c r="J51" s="86"/>
      <c r="K51" s="86"/>
      <c r="L51" s="86"/>
      <c r="M51" s="86"/>
      <c r="N51" s="86"/>
      <c r="O51" s="86"/>
      <c r="P51" s="86"/>
      <c r="Q51" s="94"/>
      <c r="R51" s="88"/>
      <c r="S51" s="88"/>
      <c r="T51" s="101"/>
      <c r="U51" s="89"/>
      <c r="Y51" s="302"/>
      <c r="Z51" s="302"/>
      <c r="AA51" s="302"/>
      <c r="AB51" s="302"/>
      <c r="AC51" s="302"/>
    </row>
    <row r="52" spans="1:29" x14ac:dyDescent="0.2">
      <c r="A52" s="89"/>
      <c r="B52" s="117"/>
      <c r="C52" s="89"/>
      <c r="D52" s="87"/>
      <c r="E52" s="89"/>
      <c r="F52" s="94"/>
      <c r="G52" s="87"/>
      <c r="H52" s="87"/>
      <c r="I52" s="87"/>
      <c r="J52" s="86"/>
      <c r="K52" s="86"/>
      <c r="L52" s="86"/>
      <c r="M52" s="86"/>
      <c r="N52" s="86"/>
      <c r="O52" s="86"/>
      <c r="P52" s="86"/>
      <c r="Q52" s="94"/>
      <c r="R52" s="88"/>
      <c r="S52" s="88"/>
      <c r="T52" s="101"/>
      <c r="U52" s="89"/>
      <c r="Y52" s="302"/>
      <c r="Z52" s="302"/>
      <c r="AA52" s="302"/>
      <c r="AB52" s="302"/>
      <c r="AC52" s="302"/>
    </row>
    <row r="53" spans="1:29" x14ac:dyDescent="0.2">
      <c r="A53" s="89"/>
      <c r="B53" s="117"/>
      <c r="C53" s="89"/>
      <c r="D53" s="87"/>
      <c r="E53" s="89"/>
      <c r="F53" s="94"/>
      <c r="G53" s="87"/>
      <c r="H53" s="87"/>
      <c r="I53" s="87"/>
      <c r="J53" s="86"/>
      <c r="K53" s="86"/>
      <c r="L53" s="86"/>
      <c r="M53" s="86"/>
      <c r="N53" s="86"/>
      <c r="O53" s="86"/>
      <c r="P53" s="86"/>
      <c r="Q53" s="94"/>
      <c r="R53" s="88"/>
      <c r="S53" s="88"/>
      <c r="T53" s="101"/>
      <c r="U53" s="89"/>
      <c r="Y53" s="302"/>
      <c r="Z53" s="302"/>
      <c r="AA53" s="302"/>
      <c r="AB53" s="302"/>
      <c r="AC53" s="302"/>
    </row>
    <row r="54" spans="1:29" x14ac:dyDescent="0.2">
      <c r="A54" s="89"/>
      <c r="B54" s="117"/>
      <c r="C54" s="89"/>
      <c r="D54" s="87"/>
      <c r="E54" s="89"/>
      <c r="F54" s="94"/>
      <c r="G54" s="87"/>
      <c r="H54" s="87"/>
      <c r="I54" s="87"/>
      <c r="J54" s="86"/>
      <c r="K54" s="86"/>
      <c r="L54" s="86"/>
      <c r="M54" s="86"/>
      <c r="N54" s="86"/>
      <c r="O54" s="86"/>
      <c r="P54" s="86"/>
      <c r="Q54" s="94"/>
      <c r="R54" s="88"/>
      <c r="S54" s="88"/>
      <c r="T54" s="101"/>
      <c r="U54" s="89"/>
      <c r="Y54" s="302"/>
      <c r="Z54" s="302"/>
      <c r="AA54" s="302"/>
      <c r="AB54" s="302"/>
      <c r="AC54" s="302"/>
    </row>
    <row r="55" spans="1:29" x14ac:dyDescent="0.2">
      <c r="A55" s="89"/>
      <c r="B55" s="117"/>
      <c r="C55" s="89"/>
      <c r="D55" s="87"/>
      <c r="E55" s="89"/>
      <c r="F55" s="94"/>
      <c r="G55" s="87"/>
      <c r="H55" s="87"/>
      <c r="I55" s="87"/>
      <c r="J55" s="86"/>
      <c r="K55" s="86"/>
      <c r="L55" s="86"/>
      <c r="M55" s="86"/>
      <c r="N55" s="86"/>
      <c r="O55" s="86"/>
      <c r="P55" s="86"/>
      <c r="Q55" s="94"/>
      <c r="R55" s="88"/>
      <c r="S55" s="88"/>
      <c r="T55" s="101"/>
      <c r="U55" s="89"/>
      <c r="Y55" s="302"/>
      <c r="Z55" s="302"/>
      <c r="AA55" s="302"/>
      <c r="AB55" s="302"/>
      <c r="AC55" s="302"/>
    </row>
    <row r="56" spans="1:29" x14ac:dyDescent="0.2">
      <c r="A56" s="89"/>
      <c r="B56" s="117"/>
      <c r="C56" s="89"/>
      <c r="D56" s="87"/>
      <c r="E56" s="89"/>
      <c r="F56" s="94"/>
      <c r="G56" s="87"/>
      <c r="H56" s="87"/>
      <c r="I56" s="87"/>
      <c r="J56" s="86"/>
      <c r="K56" s="86"/>
      <c r="L56" s="86"/>
      <c r="M56" s="86"/>
      <c r="N56" s="86"/>
      <c r="O56" s="86"/>
      <c r="P56" s="86"/>
      <c r="Q56" s="94"/>
      <c r="R56" s="88"/>
      <c r="S56" s="88"/>
      <c r="T56" s="101"/>
      <c r="U56" s="89"/>
      <c r="Y56" s="302"/>
      <c r="Z56" s="302"/>
      <c r="AA56" s="302"/>
      <c r="AB56" s="302"/>
      <c r="AC56" s="302"/>
    </row>
    <row r="57" spans="1:29" x14ac:dyDescent="0.2">
      <c r="A57" s="89"/>
      <c r="B57" s="117"/>
      <c r="C57" s="89"/>
      <c r="D57" s="87"/>
      <c r="E57" s="89"/>
      <c r="F57" s="94"/>
      <c r="G57" s="87"/>
      <c r="H57" s="87"/>
      <c r="I57" s="87"/>
      <c r="J57" s="86"/>
      <c r="K57" s="86"/>
      <c r="L57" s="86"/>
      <c r="M57" s="86"/>
      <c r="N57" s="86"/>
      <c r="O57" s="86"/>
      <c r="P57" s="86"/>
      <c r="Q57" s="94"/>
      <c r="R57" s="88"/>
      <c r="S57" s="88"/>
      <c r="T57" s="101"/>
      <c r="U57" s="89"/>
      <c r="Y57" s="302"/>
      <c r="Z57" s="302"/>
      <c r="AA57" s="302"/>
      <c r="AB57" s="302"/>
      <c r="AC57" s="302"/>
    </row>
    <row r="58" spans="1:29" x14ac:dyDescent="0.2">
      <c r="A58" s="89"/>
      <c r="B58" s="117"/>
      <c r="C58" s="89"/>
      <c r="D58" s="87"/>
      <c r="E58" s="89"/>
      <c r="F58" s="94"/>
      <c r="G58" s="87"/>
      <c r="H58" s="87"/>
      <c r="I58" s="87"/>
      <c r="J58" s="86"/>
      <c r="K58" s="86"/>
      <c r="L58" s="86"/>
      <c r="M58" s="86"/>
      <c r="N58" s="86"/>
      <c r="O58" s="86"/>
      <c r="P58" s="86"/>
      <c r="Q58" s="94"/>
      <c r="R58" s="88"/>
      <c r="S58" s="88"/>
      <c r="T58" s="101"/>
      <c r="U58" s="89"/>
      <c r="Y58" s="302"/>
      <c r="Z58" s="302"/>
      <c r="AA58" s="302"/>
      <c r="AB58" s="302"/>
      <c r="AC58" s="302"/>
    </row>
    <row r="59" spans="1:29" x14ac:dyDescent="0.2">
      <c r="A59" s="89"/>
      <c r="B59" s="117"/>
      <c r="C59" s="89"/>
      <c r="D59" s="87"/>
      <c r="E59" s="89"/>
      <c r="F59" s="94"/>
      <c r="G59" s="87"/>
      <c r="H59" s="87"/>
      <c r="I59" s="87"/>
      <c r="J59" s="86"/>
      <c r="K59" s="86"/>
      <c r="L59" s="86"/>
      <c r="M59" s="86"/>
      <c r="N59" s="86"/>
      <c r="O59" s="86"/>
      <c r="P59" s="86"/>
      <c r="Q59" s="94"/>
      <c r="R59" s="88"/>
      <c r="S59" s="88"/>
      <c r="T59" s="101"/>
      <c r="U59" s="89"/>
      <c r="Y59" s="302"/>
      <c r="Z59" s="302"/>
      <c r="AA59" s="302"/>
      <c r="AB59" s="302"/>
      <c r="AC59" s="302"/>
    </row>
    <row r="60" spans="1:29" x14ac:dyDescent="0.2">
      <c r="A60" s="89"/>
      <c r="B60" s="117"/>
      <c r="C60" s="89"/>
      <c r="D60" s="87"/>
      <c r="E60" s="89"/>
      <c r="F60" s="94"/>
      <c r="G60" s="87"/>
      <c r="H60" s="87"/>
      <c r="I60" s="87"/>
      <c r="J60" s="86"/>
      <c r="K60" s="86"/>
      <c r="L60" s="86"/>
      <c r="M60" s="86"/>
      <c r="N60" s="86"/>
      <c r="O60" s="86"/>
      <c r="P60" s="86"/>
      <c r="Q60" s="94"/>
      <c r="R60" s="88"/>
      <c r="S60" s="88"/>
      <c r="T60" s="101"/>
      <c r="U60" s="89"/>
      <c r="Y60" s="302"/>
      <c r="Z60" s="302"/>
      <c r="AA60" s="302"/>
      <c r="AB60" s="302"/>
      <c r="AC60" s="302"/>
    </row>
    <row r="61" spans="1:29" x14ac:dyDescent="0.2">
      <c r="A61" s="89"/>
      <c r="B61" s="117"/>
      <c r="C61" s="89"/>
      <c r="D61" s="87"/>
      <c r="E61" s="89"/>
      <c r="F61" s="94"/>
      <c r="G61" s="87"/>
      <c r="H61" s="87"/>
      <c r="I61" s="87"/>
      <c r="J61" s="86"/>
      <c r="K61" s="86"/>
      <c r="L61" s="86"/>
      <c r="M61" s="86"/>
      <c r="N61" s="86"/>
      <c r="O61" s="86"/>
      <c r="P61" s="86"/>
      <c r="Q61" s="94"/>
      <c r="R61" s="88"/>
      <c r="S61" s="88"/>
      <c r="T61" s="101"/>
      <c r="U61" s="89"/>
      <c r="Y61" s="302"/>
      <c r="Z61" s="302"/>
      <c r="AA61" s="302"/>
      <c r="AB61" s="302"/>
      <c r="AC61" s="302"/>
    </row>
    <row r="62" spans="1:29" x14ac:dyDescent="0.2">
      <c r="A62" s="89"/>
      <c r="B62" s="117"/>
      <c r="C62" s="89"/>
      <c r="D62" s="87"/>
      <c r="E62" s="89"/>
      <c r="F62" s="94"/>
      <c r="G62" s="87"/>
      <c r="H62" s="87"/>
      <c r="I62" s="87"/>
      <c r="J62" s="86"/>
      <c r="K62" s="86"/>
      <c r="L62" s="86"/>
      <c r="M62" s="86"/>
      <c r="N62" s="86"/>
      <c r="O62" s="86"/>
      <c r="P62" s="86"/>
      <c r="Q62" s="94"/>
      <c r="R62" s="88"/>
      <c r="S62" s="88"/>
      <c r="T62" s="101"/>
      <c r="U62" s="89"/>
      <c r="Y62" s="302"/>
      <c r="Z62" s="302"/>
      <c r="AA62" s="302"/>
      <c r="AB62" s="302"/>
      <c r="AC62" s="302"/>
    </row>
    <row r="63" spans="1:29" x14ac:dyDescent="0.2">
      <c r="A63" s="89"/>
      <c r="B63" s="117"/>
      <c r="C63" s="89"/>
      <c r="D63" s="87"/>
      <c r="E63" s="89"/>
      <c r="F63" s="94"/>
      <c r="G63" s="87"/>
      <c r="H63" s="87"/>
      <c r="I63" s="87"/>
      <c r="J63" s="86"/>
      <c r="K63" s="86"/>
      <c r="L63" s="86"/>
      <c r="M63" s="86"/>
      <c r="N63" s="86"/>
      <c r="O63" s="86"/>
      <c r="P63" s="86"/>
      <c r="Q63" s="94"/>
      <c r="R63" s="88"/>
      <c r="S63" s="88"/>
      <c r="T63" s="101"/>
      <c r="U63" s="89"/>
      <c r="Y63" s="302"/>
      <c r="Z63" s="302"/>
      <c r="AA63" s="302"/>
      <c r="AB63" s="302"/>
      <c r="AC63" s="302"/>
    </row>
    <row r="64" spans="1:29" x14ac:dyDescent="0.2">
      <c r="B64" s="117"/>
      <c r="Y64" s="302"/>
      <c r="Z64" s="302"/>
      <c r="AA64" s="302"/>
      <c r="AB64" s="302"/>
      <c r="AC64" s="302"/>
    </row>
    <row r="65" spans="2:29" x14ac:dyDescent="0.2">
      <c r="B65" s="117"/>
      <c r="Y65" s="302"/>
      <c r="Z65" s="302"/>
      <c r="AA65" s="302"/>
      <c r="AB65" s="302"/>
      <c r="AC65" s="302"/>
    </row>
    <row r="66" spans="2:29" x14ac:dyDescent="0.2">
      <c r="B66" s="117"/>
      <c r="Y66" s="302"/>
      <c r="Z66" s="302"/>
      <c r="AA66" s="302"/>
      <c r="AB66" s="302"/>
      <c r="AC66" s="302"/>
    </row>
    <row r="67" spans="2:29" x14ac:dyDescent="0.2">
      <c r="B67" s="117"/>
    </row>
    <row r="68" spans="2:29" x14ac:dyDescent="0.2">
      <c r="B68" s="117"/>
    </row>
    <row r="69" spans="2:29" x14ac:dyDescent="0.2">
      <c r="B69" s="117"/>
    </row>
    <row r="70" spans="2:29" x14ac:dyDescent="0.2">
      <c r="B70" s="117"/>
    </row>
    <row r="71" spans="2:29" x14ac:dyDescent="0.2">
      <c r="B71" s="117"/>
    </row>
    <row r="72" spans="2:29" x14ac:dyDescent="0.2">
      <c r="B72" s="117"/>
    </row>
  </sheetData>
  <pageMargins left="0.2" right="0.2" top="0.28000000000000003" bottom="0.28000000000000003" header="0.26" footer="0.25"/>
  <pageSetup orientation="landscape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3"/>
  <sheetViews>
    <sheetView workbookViewId="0">
      <selection sqref="A1:A3"/>
    </sheetView>
  </sheetViews>
  <sheetFormatPr defaultRowHeight="12.75" x14ac:dyDescent="0.2"/>
  <cols>
    <col min="1" max="1" width="5.140625" customWidth="1"/>
    <col min="2" max="2" width="23.7109375" style="323" customWidth="1"/>
    <col min="3" max="3" width="6.28515625" style="323" customWidth="1"/>
    <col min="4" max="4" width="6.7109375" style="257" customWidth="1"/>
    <col min="5" max="5" width="4.7109375" customWidth="1"/>
    <col min="6" max="15" width="3.140625" customWidth="1"/>
    <col min="16" max="16" width="5" customWidth="1"/>
    <col min="17" max="17" width="5.140625" customWidth="1"/>
    <col min="18" max="18" width="9.28515625" customWidth="1"/>
    <col min="19" max="19" width="7.5703125" customWidth="1"/>
    <col min="20" max="20" width="14.7109375" customWidth="1"/>
    <col min="21" max="21" width="20.140625" customWidth="1"/>
    <col min="22" max="22" width="0.42578125" customWidth="1"/>
    <col min="23" max="45" width="3.7109375" customWidth="1"/>
  </cols>
  <sheetData>
    <row r="1" spans="1:22" ht="20.25" x14ac:dyDescent="0.2">
      <c r="A1" s="456" t="s">
        <v>11</v>
      </c>
      <c r="B1" s="459" t="s">
        <v>79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60"/>
    </row>
    <row r="2" spans="1:22" ht="13.5" x14ac:dyDescent="0.2">
      <c r="A2" s="457"/>
      <c r="B2" s="336"/>
      <c r="U2" s="333"/>
    </row>
    <row r="3" spans="1:22" x14ac:dyDescent="0.2">
      <c r="A3" s="458"/>
      <c r="B3" s="461" t="s">
        <v>136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2"/>
    </row>
    <row r="4" spans="1:22" x14ac:dyDescent="0.2">
      <c r="A4" s="463" t="s">
        <v>81</v>
      </c>
      <c r="B4" s="464" t="s">
        <v>69</v>
      </c>
      <c r="C4" s="466" t="s">
        <v>71</v>
      </c>
      <c r="D4" s="466" t="s">
        <v>70</v>
      </c>
      <c r="E4" s="468" t="s">
        <v>124</v>
      </c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325" t="s">
        <v>10</v>
      </c>
      <c r="Q4" s="326"/>
      <c r="R4" s="470" t="s">
        <v>73</v>
      </c>
      <c r="S4" s="471"/>
      <c r="T4" s="324" t="s">
        <v>34</v>
      </c>
      <c r="U4" s="472" t="s">
        <v>78</v>
      </c>
    </row>
    <row r="5" spans="1:22" s="3" customFormat="1" x14ac:dyDescent="0.2">
      <c r="A5" s="463"/>
      <c r="B5" s="465"/>
      <c r="C5" s="467"/>
      <c r="D5" s="467"/>
      <c r="E5" s="1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  <c r="M5" s="1">
        <v>8</v>
      </c>
      <c r="N5" s="1">
        <v>9</v>
      </c>
      <c r="O5" s="375">
        <v>10</v>
      </c>
      <c r="P5" s="455" t="s">
        <v>72</v>
      </c>
      <c r="Q5" s="455"/>
      <c r="R5" s="2" t="s">
        <v>67</v>
      </c>
      <c r="S5" s="2" t="s">
        <v>74</v>
      </c>
      <c r="T5" s="324" t="s">
        <v>76</v>
      </c>
      <c r="U5" s="473"/>
      <c r="V5" s="322"/>
    </row>
    <row r="6" spans="1:22" x14ac:dyDescent="0.2">
      <c r="A6" s="484">
        <v>1</v>
      </c>
      <c r="B6" s="485" t="s">
        <v>131</v>
      </c>
      <c r="C6" s="482" t="s">
        <v>123</v>
      </c>
      <c r="D6" s="466">
        <v>400</v>
      </c>
      <c r="E6" s="1" t="s">
        <v>67</v>
      </c>
      <c r="F6" s="1">
        <v>0</v>
      </c>
      <c r="G6" s="1">
        <v>0</v>
      </c>
      <c r="H6" s="1">
        <v>0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476">
        <f>SUM(F6:O6)</f>
        <v>7</v>
      </c>
      <c r="Q6" s="477"/>
      <c r="R6" s="466">
        <f>D6*P6</f>
        <v>2800</v>
      </c>
      <c r="S6" s="487">
        <f>D6/8*P7</f>
        <v>950</v>
      </c>
      <c r="T6" s="487">
        <f>R6+S6</f>
        <v>3750</v>
      </c>
      <c r="U6" s="474"/>
    </row>
    <row r="7" spans="1:22" x14ac:dyDescent="0.2">
      <c r="A7" s="484"/>
      <c r="B7" s="486"/>
      <c r="C7" s="483"/>
      <c r="D7" s="467"/>
      <c r="E7" s="1" t="s">
        <v>68</v>
      </c>
      <c r="F7" s="1"/>
      <c r="G7" s="1"/>
      <c r="H7" s="1"/>
      <c r="I7" s="1">
        <v>0</v>
      </c>
      <c r="J7" s="1">
        <v>0</v>
      </c>
      <c r="K7" s="1">
        <v>0</v>
      </c>
      <c r="L7" s="1">
        <v>2</v>
      </c>
      <c r="M7" s="1">
        <v>5</v>
      </c>
      <c r="N7" s="1">
        <v>5</v>
      </c>
      <c r="O7" s="1">
        <v>7</v>
      </c>
      <c r="P7" s="476">
        <f>SUM(F7:O7)</f>
        <v>19</v>
      </c>
      <c r="Q7" s="477"/>
      <c r="R7" s="467"/>
      <c r="S7" s="488"/>
      <c r="T7" s="488"/>
      <c r="U7" s="475"/>
    </row>
    <row r="8" spans="1:22" ht="12.75" customHeight="1" x14ac:dyDescent="0.2">
      <c r="A8" s="478">
        <v>2</v>
      </c>
      <c r="B8" s="480" t="s">
        <v>130</v>
      </c>
      <c r="C8" s="482" t="s">
        <v>123</v>
      </c>
      <c r="D8" s="466">
        <v>400</v>
      </c>
      <c r="E8" s="1" t="s">
        <v>67</v>
      </c>
      <c r="F8" s="1"/>
      <c r="G8" s="1"/>
      <c r="H8" s="1"/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476">
        <v>7</v>
      </c>
      <c r="Q8" s="477"/>
      <c r="R8" s="466">
        <f>D8*P8</f>
        <v>2800</v>
      </c>
      <c r="S8" s="466">
        <f>D8/8*P9</f>
        <v>950</v>
      </c>
      <c r="T8" s="487">
        <f>R8+S8</f>
        <v>3750</v>
      </c>
      <c r="U8" s="474"/>
    </row>
    <row r="9" spans="1:22" x14ac:dyDescent="0.2">
      <c r="A9" s="479"/>
      <c r="B9" s="481"/>
      <c r="C9" s="483"/>
      <c r="D9" s="467"/>
      <c r="E9" s="1" t="s">
        <v>68</v>
      </c>
      <c r="F9" s="1"/>
      <c r="G9" s="1"/>
      <c r="H9" s="1"/>
      <c r="I9" s="1">
        <v>0</v>
      </c>
      <c r="J9" s="1">
        <v>0</v>
      </c>
      <c r="K9" s="1">
        <v>0</v>
      </c>
      <c r="L9" s="1">
        <v>2</v>
      </c>
      <c r="M9" s="1">
        <v>5</v>
      </c>
      <c r="N9" s="1">
        <v>5</v>
      </c>
      <c r="O9" s="1">
        <v>7</v>
      </c>
      <c r="P9" s="476">
        <f t="shared" ref="P9:P21" si="0">SUM(F9:O9)</f>
        <v>19</v>
      </c>
      <c r="Q9" s="477"/>
      <c r="R9" s="467"/>
      <c r="S9" s="467"/>
      <c r="T9" s="488"/>
      <c r="U9" s="475"/>
    </row>
    <row r="10" spans="1:22" ht="12.75" customHeight="1" x14ac:dyDescent="0.2">
      <c r="A10" s="478">
        <v>3</v>
      </c>
      <c r="B10" s="485" t="s">
        <v>126</v>
      </c>
      <c r="C10" s="482" t="s">
        <v>123</v>
      </c>
      <c r="D10" s="466">
        <v>400</v>
      </c>
      <c r="E10" s="1" t="s">
        <v>67</v>
      </c>
      <c r="F10" s="1"/>
      <c r="G10" s="1"/>
      <c r="H10" s="1"/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476">
        <f t="shared" si="0"/>
        <v>7</v>
      </c>
      <c r="Q10" s="477"/>
      <c r="R10" s="466">
        <f>D10*P10</f>
        <v>2800</v>
      </c>
      <c r="S10" s="466">
        <f>D10/8*P11</f>
        <v>950</v>
      </c>
      <c r="T10" s="487">
        <f>R10+S10</f>
        <v>3750</v>
      </c>
      <c r="U10" s="489"/>
    </row>
    <row r="11" spans="1:22" x14ac:dyDescent="0.2">
      <c r="A11" s="479"/>
      <c r="B11" s="486"/>
      <c r="C11" s="483"/>
      <c r="D11" s="467"/>
      <c r="E11" s="1" t="s">
        <v>68</v>
      </c>
      <c r="F11" s="1"/>
      <c r="G11" s="1"/>
      <c r="H11" s="1"/>
      <c r="I11" s="1">
        <v>0</v>
      </c>
      <c r="J11" s="1">
        <v>0</v>
      </c>
      <c r="K11" s="1">
        <v>0</v>
      </c>
      <c r="L11" s="1">
        <v>2</v>
      </c>
      <c r="M11" s="1">
        <v>5</v>
      </c>
      <c r="N11" s="1">
        <v>5</v>
      </c>
      <c r="O11" s="1">
        <v>7</v>
      </c>
      <c r="P11" s="476">
        <f t="shared" si="0"/>
        <v>19</v>
      </c>
      <c r="Q11" s="477"/>
      <c r="R11" s="467"/>
      <c r="S11" s="467"/>
      <c r="T11" s="488"/>
      <c r="U11" s="475"/>
    </row>
    <row r="12" spans="1:22" ht="12.75" customHeight="1" x14ac:dyDescent="0.2">
      <c r="A12" s="478">
        <v>4</v>
      </c>
      <c r="B12" s="485" t="s">
        <v>132</v>
      </c>
      <c r="C12" s="482" t="s">
        <v>123</v>
      </c>
      <c r="D12" s="466">
        <v>330</v>
      </c>
      <c r="E12" s="1" t="s">
        <v>67</v>
      </c>
      <c r="F12" s="1"/>
      <c r="G12" s="1"/>
      <c r="H12" s="1"/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476">
        <f t="shared" si="0"/>
        <v>7</v>
      </c>
      <c r="Q12" s="477"/>
      <c r="R12" s="466">
        <f>D12*P12</f>
        <v>2310</v>
      </c>
      <c r="S12" s="466">
        <f>D12/8*P13</f>
        <v>701.25</v>
      </c>
      <c r="T12" s="487">
        <f>R12+S12</f>
        <v>3011.25</v>
      </c>
      <c r="U12" s="474"/>
    </row>
    <row r="13" spans="1:22" x14ac:dyDescent="0.2">
      <c r="A13" s="479"/>
      <c r="B13" s="486"/>
      <c r="C13" s="483"/>
      <c r="D13" s="467"/>
      <c r="E13" s="1" t="s">
        <v>68</v>
      </c>
      <c r="F13" s="1"/>
      <c r="G13" s="1"/>
      <c r="H13" s="1"/>
      <c r="I13" s="1"/>
      <c r="J13" s="1">
        <v>2</v>
      </c>
      <c r="K13" s="1">
        <v>2</v>
      </c>
      <c r="L13" s="1">
        <v>2</v>
      </c>
      <c r="M13" s="1">
        <v>2</v>
      </c>
      <c r="N13" s="1">
        <v>4</v>
      </c>
      <c r="O13" s="1">
        <v>5</v>
      </c>
      <c r="P13" s="476">
        <f t="shared" si="0"/>
        <v>17</v>
      </c>
      <c r="Q13" s="477"/>
      <c r="R13" s="467"/>
      <c r="S13" s="467"/>
      <c r="T13" s="488"/>
      <c r="U13" s="475"/>
    </row>
    <row r="14" spans="1:22" ht="12.75" customHeight="1" x14ac:dyDescent="0.2">
      <c r="A14" s="478">
        <v>5</v>
      </c>
      <c r="B14" s="485" t="s">
        <v>133</v>
      </c>
      <c r="C14" s="482" t="s">
        <v>31</v>
      </c>
      <c r="D14" s="466">
        <v>330</v>
      </c>
      <c r="E14" s="1" t="s">
        <v>67</v>
      </c>
      <c r="F14" s="1"/>
      <c r="G14" s="1"/>
      <c r="H14" s="1"/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476">
        <f t="shared" si="0"/>
        <v>7</v>
      </c>
      <c r="Q14" s="477"/>
      <c r="R14" s="466">
        <f>D14*P14</f>
        <v>2310</v>
      </c>
      <c r="S14" s="466">
        <f>D14/8*P15</f>
        <v>783.75</v>
      </c>
      <c r="T14" s="487">
        <f>R14+S14</f>
        <v>3093.75</v>
      </c>
      <c r="U14" s="474"/>
    </row>
    <row r="15" spans="1:22" x14ac:dyDescent="0.2">
      <c r="A15" s="479"/>
      <c r="B15" s="486"/>
      <c r="C15" s="483"/>
      <c r="D15" s="467"/>
      <c r="E15" s="1" t="s">
        <v>68</v>
      </c>
      <c r="F15" s="1"/>
      <c r="G15" s="1"/>
      <c r="H15" s="1"/>
      <c r="I15" s="1">
        <v>1</v>
      </c>
      <c r="J15" s="1">
        <v>1</v>
      </c>
      <c r="K15" s="1">
        <v>2</v>
      </c>
      <c r="L15" s="1">
        <v>3</v>
      </c>
      <c r="M15" s="1">
        <v>2</v>
      </c>
      <c r="N15" s="1">
        <v>5</v>
      </c>
      <c r="O15" s="1">
        <v>5</v>
      </c>
      <c r="P15" s="476">
        <f t="shared" si="0"/>
        <v>19</v>
      </c>
      <c r="Q15" s="477"/>
      <c r="R15" s="467"/>
      <c r="S15" s="467"/>
      <c r="T15" s="488"/>
      <c r="U15" s="475"/>
    </row>
    <row r="16" spans="1:22" ht="12.75" customHeight="1" x14ac:dyDescent="0.2">
      <c r="A16" s="478">
        <v>6</v>
      </c>
      <c r="B16" s="485" t="s">
        <v>134</v>
      </c>
      <c r="C16" s="482" t="s">
        <v>31</v>
      </c>
      <c r="D16" s="466">
        <v>330</v>
      </c>
      <c r="E16" s="1" t="s">
        <v>67</v>
      </c>
      <c r="F16" s="1"/>
      <c r="G16" s="1"/>
      <c r="H16" s="1"/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476">
        <f t="shared" si="0"/>
        <v>7</v>
      </c>
      <c r="Q16" s="477"/>
      <c r="R16" s="466">
        <f>D16*P16</f>
        <v>2310</v>
      </c>
      <c r="S16" s="466">
        <f>D16/8*P17</f>
        <v>783.75</v>
      </c>
      <c r="T16" s="487">
        <f>R16+S16</f>
        <v>3093.75</v>
      </c>
      <c r="U16" s="474"/>
    </row>
    <row r="17" spans="1:21" x14ac:dyDescent="0.2">
      <c r="A17" s="479"/>
      <c r="B17" s="486"/>
      <c r="C17" s="483"/>
      <c r="D17" s="467"/>
      <c r="E17" s="1" t="s">
        <v>68</v>
      </c>
      <c r="F17" s="1"/>
      <c r="G17" s="1"/>
      <c r="H17" s="1"/>
      <c r="I17" s="1">
        <v>1</v>
      </c>
      <c r="J17" s="1">
        <v>1</v>
      </c>
      <c r="K17" s="1">
        <v>2</v>
      </c>
      <c r="L17" s="1">
        <v>3</v>
      </c>
      <c r="M17" s="1">
        <v>2</v>
      </c>
      <c r="N17" s="1">
        <v>5</v>
      </c>
      <c r="O17" s="1">
        <v>5</v>
      </c>
      <c r="P17" s="476">
        <f t="shared" si="0"/>
        <v>19</v>
      </c>
      <c r="Q17" s="477"/>
      <c r="R17" s="467"/>
      <c r="S17" s="467"/>
      <c r="T17" s="488"/>
      <c r="U17" s="475"/>
    </row>
    <row r="18" spans="1:21" ht="12.75" customHeight="1" x14ac:dyDescent="0.2">
      <c r="A18" s="478">
        <v>7</v>
      </c>
      <c r="B18" s="485" t="s">
        <v>135</v>
      </c>
      <c r="C18" s="482" t="s">
        <v>31</v>
      </c>
      <c r="D18" s="466">
        <v>330</v>
      </c>
      <c r="E18" s="1" t="s">
        <v>67</v>
      </c>
      <c r="F18" s="1"/>
      <c r="G18" s="1"/>
      <c r="H18" s="1"/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476">
        <f t="shared" si="0"/>
        <v>7</v>
      </c>
      <c r="Q18" s="477"/>
      <c r="R18" s="466">
        <f>D18*P18</f>
        <v>2310</v>
      </c>
      <c r="S18" s="466">
        <f>D18/8*P19</f>
        <v>783.75</v>
      </c>
      <c r="T18" s="487">
        <f>R18+S18</f>
        <v>3093.75</v>
      </c>
      <c r="U18" s="474"/>
    </row>
    <row r="19" spans="1:21" x14ac:dyDescent="0.2">
      <c r="A19" s="479"/>
      <c r="B19" s="486"/>
      <c r="C19" s="483"/>
      <c r="D19" s="467"/>
      <c r="E19" s="1" t="s">
        <v>68</v>
      </c>
      <c r="F19" s="1"/>
      <c r="G19" s="1"/>
      <c r="H19" s="1"/>
      <c r="I19" s="1">
        <v>2</v>
      </c>
      <c r="J19" s="1">
        <v>2</v>
      </c>
      <c r="K19" s="1">
        <v>2</v>
      </c>
      <c r="L19" s="1">
        <v>2</v>
      </c>
      <c r="M19" s="1">
        <v>3</v>
      </c>
      <c r="N19" s="1">
        <v>4</v>
      </c>
      <c r="O19" s="1">
        <v>4</v>
      </c>
      <c r="P19" s="476">
        <f t="shared" si="0"/>
        <v>19</v>
      </c>
      <c r="Q19" s="477"/>
      <c r="R19" s="467"/>
      <c r="S19" s="467"/>
      <c r="T19" s="488"/>
      <c r="U19" s="475"/>
    </row>
    <row r="20" spans="1:21" ht="12.75" customHeight="1" x14ac:dyDescent="0.2">
      <c r="A20" s="478">
        <v>8</v>
      </c>
      <c r="B20" s="485" t="s">
        <v>105</v>
      </c>
      <c r="C20" s="482" t="s">
        <v>31</v>
      </c>
      <c r="D20" s="466">
        <v>330</v>
      </c>
      <c r="E20" s="1" t="s">
        <v>67</v>
      </c>
      <c r="F20" s="1"/>
      <c r="G20" s="1"/>
      <c r="H20" s="1"/>
      <c r="I20" s="1"/>
      <c r="J20" s="1"/>
      <c r="K20" s="1"/>
      <c r="L20" s="1">
        <v>1</v>
      </c>
      <c r="M20" s="1">
        <v>1</v>
      </c>
      <c r="N20" s="1">
        <v>1</v>
      </c>
      <c r="O20" s="1">
        <v>1</v>
      </c>
      <c r="P20" s="476">
        <f t="shared" si="0"/>
        <v>4</v>
      </c>
      <c r="Q20" s="477"/>
      <c r="R20" s="466">
        <f>D20*P20</f>
        <v>1320</v>
      </c>
      <c r="S20" s="466">
        <f>D20/8*P21</f>
        <v>288.75</v>
      </c>
      <c r="T20" s="487">
        <f>R20+S20</f>
        <v>1608.75</v>
      </c>
      <c r="U20" s="474"/>
    </row>
    <row r="21" spans="1:21" x14ac:dyDescent="0.2">
      <c r="A21" s="479"/>
      <c r="B21" s="486"/>
      <c r="C21" s="483"/>
      <c r="D21" s="467"/>
      <c r="E21" s="1" t="s">
        <v>68</v>
      </c>
      <c r="F21" s="1"/>
      <c r="G21" s="1"/>
      <c r="H21" s="1"/>
      <c r="I21" s="1"/>
      <c r="J21" s="1"/>
      <c r="K21" s="1"/>
      <c r="L21" s="1">
        <v>2</v>
      </c>
      <c r="M21" s="1">
        <v>1</v>
      </c>
      <c r="N21" s="1">
        <v>3</v>
      </c>
      <c r="O21" s="1">
        <v>1</v>
      </c>
      <c r="P21" s="476">
        <f t="shared" si="0"/>
        <v>7</v>
      </c>
      <c r="Q21" s="477"/>
      <c r="R21" s="467"/>
      <c r="S21" s="467"/>
      <c r="T21" s="488"/>
      <c r="U21" s="475"/>
    </row>
    <row r="22" spans="1:21" x14ac:dyDescent="0.2">
      <c r="A22" s="478">
        <v>9</v>
      </c>
      <c r="B22" s="490"/>
      <c r="C22" s="491"/>
      <c r="D22" s="466"/>
      <c r="E22" s="1" t="s">
        <v>67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476"/>
      <c r="Q22" s="477"/>
      <c r="R22" s="466">
        <f>D22*P22</f>
        <v>0</v>
      </c>
      <c r="S22" s="466">
        <f>D22/8*P23</f>
        <v>0</v>
      </c>
      <c r="T22" s="487">
        <f>R22+S22</f>
        <v>0</v>
      </c>
      <c r="U22" s="474"/>
    </row>
    <row r="23" spans="1:21" x14ac:dyDescent="0.2">
      <c r="A23" s="479"/>
      <c r="B23" s="486"/>
      <c r="C23" s="492"/>
      <c r="D23" s="467"/>
      <c r="E23" s="1" t="s">
        <v>68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476"/>
      <c r="Q23" s="477"/>
      <c r="R23" s="467"/>
      <c r="S23" s="467"/>
      <c r="T23" s="488"/>
      <c r="U23" s="475"/>
    </row>
    <row r="24" spans="1:21" x14ac:dyDescent="0.2">
      <c r="A24" s="478">
        <v>10</v>
      </c>
      <c r="B24" s="490"/>
      <c r="C24" s="491"/>
      <c r="D24" s="466"/>
      <c r="E24" s="1" t="s">
        <v>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476"/>
      <c r="Q24" s="477"/>
      <c r="R24" s="466">
        <f>D24*P24</f>
        <v>0</v>
      </c>
      <c r="S24" s="466">
        <f>D24/8*P25</f>
        <v>0</v>
      </c>
      <c r="T24" s="487">
        <f>R24+S24</f>
        <v>0</v>
      </c>
      <c r="U24" s="474"/>
    </row>
    <row r="25" spans="1:21" x14ac:dyDescent="0.2">
      <c r="A25" s="479"/>
      <c r="B25" s="486"/>
      <c r="C25" s="492"/>
      <c r="D25" s="467"/>
      <c r="E25" s="1" t="s">
        <v>68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476"/>
      <c r="Q25" s="477"/>
      <c r="R25" s="467"/>
      <c r="S25" s="467"/>
      <c r="T25" s="488"/>
      <c r="U25" s="475"/>
    </row>
    <row r="26" spans="1:21" x14ac:dyDescent="0.2">
      <c r="A26" s="478">
        <v>11</v>
      </c>
      <c r="B26" s="490"/>
      <c r="C26" s="491"/>
      <c r="D26" s="466"/>
      <c r="E26" s="1" t="s">
        <v>67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476"/>
      <c r="Q26" s="477"/>
      <c r="R26" s="466">
        <f>D26*P26</f>
        <v>0</v>
      </c>
      <c r="S26" s="466">
        <f>D26/8*P27</f>
        <v>0</v>
      </c>
      <c r="T26" s="487">
        <f>R26+S26</f>
        <v>0</v>
      </c>
      <c r="U26" s="474"/>
    </row>
    <row r="27" spans="1:21" x14ac:dyDescent="0.2">
      <c r="A27" s="479"/>
      <c r="B27" s="486"/>
      <c r="C27" s="492"/>
      <c r="D27" s="467"/>
      <c r="E27" s="1" t="s">
        <v>68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476"/>
      <c r="Q27" s="477"/>
      <c r="R27" s="467"/>
      <c r="S27" s="467"/>
      <c r="T27" s="488"/>
      <c r="U27" s="475"/>
    </row>
    <row r="28" spans="1:21" x14ac:dyDescent="0.2">
      <c r="A28" s="478">
        <v>12</v>
      </c>
      <c r="B28" s="490"/>
      <c r="C28" s="491"/>
      <c r="D28" s="466"/>
      <c r="E28" s="1" t="s">
        <v>67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476"/>
      <c r="Q28" s="477"/>
      <c r="R28" s="466">
        <f>D28*P28</f>
        <v>0</v>
      </c>
      <c r="S28" s="466">
        <f>D28/8*P29</f>
        <v>0</v>
      </c>
      <c r="T28" s="487">
        <f>R28+S28</f>
        <v>0</v>
      </c>
      <c r="U28" s="474"/>
    </row>
    <row r="29" spans="1:21" x14ac:dyDescent="0.2">
      <c r="A29" s="479"/>
      <c r="B29" s="486"/>
      <c r="C29" s="492"/>
      <c r="D29" s="467"/>
      <c r="E29" s="1" t="s">
        <v>68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476"/>
      <c r="Q29" s="477"/>
      <c r="R29" s="467"/>
      <c r="S29" s="467"/>
      <c r="T29" s="488"/>
      <c r="U29" s="475"/>
    </row>
    <row r="30" spans="1:21" x14ac:dyDescent="0.2">
      <c r="A30" s="478">
        <v>13</v>
      </c>
      <c r="B30" s="490"/>
      <c r="C30" s="491"/>
      <c r="D30" s="466"/>
      <c r="E30" s="1" t="s">
        <v>67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476"/>
      <c r="Q30" s="477"/>
      <c r="R30" s="466">
        <f>D30*P30</f>
        <v>0</v>
      </c>
      <c r="S30" s="466">
        <f>D30/8*P31</f>
        <v>0</v>
      </c>
      <c r="T30" s="487">
        <f>R30+S30</f>
        <v>0</v>
      </c>
      <c r="U30" s="474"/>
    </row>
    <row r="31" spans="1:21" x14ac:dyDescent="0.2">
      <c r="A31" s="479"/>
      <c r="B31" s="486"/>
      <c r="C31" s="492"/>
      <c r="D31" s="467"/>
      <c r="E31" s="1" t="s">
        <v>68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476"/>
      <c r="Q31" s="477"/>
      <c r="R31" s="467"/>
      <c r="S31" s="467"/>
      <c r="T31" s="488"/>
      <c r="U31" s="475"/>
    </row>
    <row r="32" spans="1:21" x14ac:dyDescent="0.2">
      <c r="A32" s="478">
        <v>14</v>
      </c>
      <c r="B32" s="490"/>
      <c r="C32" s="491"/>
      <c r="D32" s="466"/>
      <c r="E32" s="1" t="s">
        <v>67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476"/>
      <c r="Q32" s="477"/>
      <c r="R32" s="466">
        <f>D32*P32</f>
        <v>0</v>
      </c>
      <c r="S32" s="466">
        <f>D32/8*P33</f>
        <v>0</v>
      </c>
      <c r="T32" s="487">
        <f>R32+S32</f>
        <v>0</v>
      </c>
      <c r="U32" s="474"/>
    </row>
    <row r="33" spans="1:21" x14ac:dyDescent="0.2">
      <c r="A33" s="479"/>
      <c r="B33" s="486"/>
      <c r="C33" s="492"/>
      <c r="D33" s="467"/>
      <c r="E33" s="1" t="s">
        <v>68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476"/>
      <c r="Q33" s="477"/>
      <c r="R33" s="467"/>
      <c r="S33" s="467"/>
      <c r="T33" s="488"/>
      <c r="U33" s="475"/>
    </row>
    <row r="34" spans="1:21" x14ac:dyDescent="0.2">
      <c r="A34" s="478">
        <v>15</v>
      </c>
      <c r="B34" s="490"/>
      <c r="C34" s="491"/>
      <c r="D34" s="466"/>
      <c r="E34" s="1" t="s">
        <v>67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476"/>
      <c r="Q34" s="477"/>
      <c r="R34" s="466">
        <f>D34*P34</f>
        <v>0</v>
      </c>
      <c r="S34" s="466">
        <f>D34/8*P35</f>
        <v>0</v>
      </c>
      <c r="T34" s="487">
        <f>R34+S34</f>
        <v>0</v>
      </c>
      <c r="U34" s="474"/>
    </row>
    <row r="35" spans="1:21" x14ac:dyDescent="0.2">
      <c r="A35" s="479"/>
      <c r="B35" s="486"/>
      <c r="C35" s="492"/>
      <c r="D35" s="467"/>
      <c r="E35" s="1" t="s">
        <v>68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476"/>
      <c r="Q35" s="477"/>
      <c r="R35" s="467"/>
      <c r="S35" s="467"/>
      <c r="T35" s="488"/>
      <c r="U35" s="475"/>
    </row>
    <row r="36" spans="1:21" x14ac:dyDescent="0.2">
      <c r="A36" s="478">
        <v>16</v>
      </c>
      <c r="B36" s="490"/>
      <c r="C36" s="491"/>
      <c r="D36" s="466"/>
      <c r="E36" s="1" t="s">
        <v>67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476"/>
      <c r="Q36" s="477"/>
      <c r="R36" s="466">
        <f>D36*P36</f>
        <v>0</v>
      </c>
      <c r="S36" s="466">
        <f>D36/8*P37</f>
        <v>0</v>
      </c>
      <c r="T36" s="487">
        <f>R36+S36</f>
        <v>0</v>
      </c>
      <c r="U36" s="474"/>
    </row>
    <row r="37" spans="1:21" x14ac:dyDescent="0.2">
      <c r="A37" s="479"/>
      <c r="B37" s="486"/>
      <c r="C37" s="492"/>
      <c r="D37" s="467"/>
      <c r="E37" s="1" t="s">
        <v>68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476"/>
      <c r="Q37" s="477"/>
      <c r="R37" s="467"/>
      <c r="S37" s="467"/>
      <c r="T37" s="488"/>
      <c r="U37" s="475"/>
    </row>
    <row r="38" spans="1:21" x14ac:dyDescent="0.2">
      <c r="A38" s="478">
        <v>17</v>
      </c>
      <c r="B38" s="481"/>
      <c r="C38" s="495"/>
      <c r="D38" s="496"/>
      <c r="E38" s="1" t="s">
        <v>67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476"/>
      <c r="Q38" s="477"/>
      <c r="R38" s="466">
        <f>D38*P38</f>
        <v>0</v>
      </c>
      <c r="S38" s="466">
        <f>D38/8*P39</f>
        <v>0</v>
      </c>
      <c r="T38" s="487">
        <f>R38+S38</f>
        <v>0</v>
      </c>
      <c r="U38" s="474"/>
    </row>
    <row r="39" spans="1:21" x14ac:dyDescent="0.2">
      <c r="A39" s="479"/>
      <c r="B39" s="481"/>
      <c r="C39" s="495"/>
      <c r="D39" s="496"/>
      <c r="E39" s="1" t="s">
        <v>68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476"/>
      <c r="Q39" s="477"/>
      <c r="R39" s="467"/>
      <c r="S39" s="467"/>
      <c r="T39" s="488"/>
      <c r="U39" s="475"/>
    </row>
    <row r="40" spans="1:21" x14ac:dyDescent="0.2">
      <c r="A40" s="478">
        <v>18</v>
      </c>
      <c r="B40" s="481"/>
      <c r="C40" s="495"/>
      <c r="D40" s="496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76"/>
      <c r="Q40" s="477"/>
      <c r="R40" s="466">
        <f>D40*P40</f>
        <v>0</v>
      </c>
      <c r="S40" s="466">
        <f>D40/8*P41</f>
        <v>0</v>
      </c>
      <c r="T40" s="466">
        <f>R40+S40</f>
        <v>0</v>
      </c>
      <c r="U40" s="474"/>
    </row>
    <row r="41" spans="1:21" ht="13.5" thickBot="1" x14ac:dyDescent="0.25">
      <c r="A41" s="479"/>
      <c r="B41" s="490"/>
      <c r="C41" s="491"/>
      <c r="D41" s="46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76"/>
      <c r="Q41" s="477"/>
      <c r="R41" s="467"/>
      <c r="S41" s="467"/>
      <c r="T41" s="467"/>
      <c r="U41" s="475"/>
    </row>
    <row r="42" spans="1:21" x14ac:dyDescent="0.2">
      <c r="A42" s="337"/>
      <c r="B42" s="493" t="s">
        <v>34</v>
      </c>
      <c r="C42" s="327"/>
      <c r="D42" s="334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9"/>
    </row>
    <row r="43" spans="1:21" ht="13.5" thickBot="1" x14ac:dyDescent="0.25">
      <c r="A43" s="338"/>
      <c r="B43" s="494"/>
      <c r="C43" s="330"/>
      <c r="D43" s="335"/>
      <c r="E43" s="331"/>
      <c r="F43" s="331"/>
      <c r="G43" s="331"/>
      <c r="H43" s="331"/>
      <c r="I43" s="331"/>
      <c r="J43" s="331"/>
      <c r="K43" s="331"/>
      <c r="L43" s="331"/>
      <c r="M43" s="331"/>
      <c r="N43" s="331"/>
      <c r="O43" s="331"/>
      <c r="P43" s="331"/>
      <c r="Q43" s="331"/>
      <c r="R43" s="331"/>
      <c r="S43" s="331"/>
      <c r="T43" s="331"/>
      <c r="U43" s="332"/>
    </row>
  </sheetData>
  <mergeCells count="192">
    <mergeCell ref="U40:U41"/>
    <mergeCell ref="P41:Q41"/>
    <mergeCell ref="B42:B43"/>
    <mergeCell ref="R40:R41"/>
    <mergeCell ref="S40:S41"/>
    <mergeCell ref="T40:T41"/>
    <mergeCell ref="U38:U39"/>
    <mergeCell ref="P39:Q39"/>
    <mergeCell ref="A40:A41"/>
    <mergeCell ref="B40:B41"/>
    <mergeCell ref="C40:C41"/>
    <mergeCell ref="D40:D41"/>
    <mergeCell ref="P40:Q40"/>
    <mergeCell ref="A38:A39"/>
    <mergeCell ref="B38:B39"/>
    <mergeCell ref="C38:C39"/>
    <mergeCell ref="D38:D39"/>
    <mergeCell ref="P38:Q38"/>
    <mergeCell ref="R38:R39"/>
    <mergeCell ref="S38:S39"/>
    <mergeCell ref="T38:T39"/>
    <mergeCell ref="R36:R37"/>
    <mergeCell ref="S36:S37"/>
    <mergeCell ref="T36:T37"/>
    <mergeCell ref="U34:U35"/>
    <mergeCell ref="P35:Q35"/>
    <mergeCell ref="A36:A37"/>
    <mergeCell ref="B36:B37"/>
    <mergeCell ref="C36:C37"/>
    <mergeCell ref="D36:D37"/>
    <mergeCell ref="P36:Q36"/>
    <mergeCell ref="U36:U37"/>
    <mergeCell ref="P37:Q37"/>
    <mergeCell ref="A34:A35"/>
    <mergeCell ref="B34:B35"/>
    <mergeCell ref="C34:C35"/>
    <mergeCell ref="D34:D35"/>
    <mergeCell ref="P34:Q34"/>
    <mergeCell ref="R34:R35"/>
    <mergeCell ref="S34:S35"/>
    <mergeCell ref="T34:T35"/>
    <mergeCell ref="R32:R33"/>
    <mergeCell ref="S32:S33"/>
    <mergeCell ref="T32:T33"/>
    <mergeCell ref="U30:U31"/>
    <mergeCell ref="P31:Q31"/>
    <mergeCell ref="A32:A33"/>
    <mergeCell ref="B32:B33"/>
    <mergeCell ref="C32:C33"/>
    <mergeCell ref="D32:D33"/>
    <mergeCell ref="P32:Q32"/>
    <mergeCell ref="U32:U33"/>
    <mergeCell ref="P33:Q33"/>
    <mergeCell ref="A30:A31"/>
    <mergeCell ref="B30:B31"/>
    <mergeCell ref="C30:C31"/>
    <mergeCell ref="D30:D31"/>
    <mergeCell ref="P30:Q30"/>
    <mergeCell ref="R30:R31"/>
    <mergeCell ref="S30:S31"/>
    <mergeCell ref="T30:T31"/>
    <mergeCell ref="R28:R29"/>
    <mergeCell ref="S28:S29"/>
    <mergeCell ref="T28:T29"/>
    <mergeCell ref="U26:U27"/>
    <mergeCell ref="P27:Q27"/>
    <mergeCell ref="A28:A29"/>
    <mergeCell ref="B28:B29"/>
    <mergeCell ref="C28:C29"/>
    <mergeCell ref="D28:D29"/>
    <mergeCell ref="P28:Q28"/>
    <mergeCell ref="U28:U29"/>
    <mergeCell ref="P29:Q29"/>
    <mergeCell ref="A26:A27"/>
    <mergeCell ref="B26:B27"/>
    <mergeCell ref="C26:C27"/>
    <mergeCell ref="D26:D27"/>
    <mergeCell ref="P26:Q26"/>
    <mergeCell ref="R26:R27"/>
    <mergeCell ref="S26:S27"/>
    <mergeCell ref="T26:T27"/>
    <mergeCell ref="R24:R25"/>
    <mergeCell ref="S24:S25"/>
    <mergeCell ref="T24:T25"/>
    <mergeCell ref="U22:U23"/>
    <mergeCell ref="P23:Q23"/>
    <mergeCell ref="A24:A25"/>
    <mergeCell ref="B24:B25"/>
    <mergeCell ref="C24:C25"/>
    <mergeCell ref="D24:D25"/>
    <mergeCell ref="P24:Q24"/>
    <mergeCell ref="U24:U25"/>
    <mergeCell ref="P25:Q25"/>
    <mergeCell ref="A22:A23"/>
    <mergeCell ref="B22:B23"/>
    <mergeCell ref="C22:C23"/>
    <mergeCell ref="D22:D23"/>
    <mergeCell ref="P22:Q22"/>
    <mergeCell ref="R22:R23"/>
    <mergeCell ref="S22:S23"/>
    <mergeCell ref="T22:T23"/>
    <mergeCell ref="R20:R21"/>
    <mergeCell ref="S20:S21"/>
    <mergeCell ref="T20:T21"/>
    <mergeCell ref="U18:U19"/>
    <mergeCell ref="P19:Q19"/>
    <mergeCell ref="A20:A21"/>
    <mergeCell ref="B20:B21"/>
    <mergeCell ref="C20:C21"/>
    <mergeCell ref="D20:D21"/>
    <mergeCell ref="P20:Q20"/>
    <mergeCell ref="U20:U21"/>
    <mergeCell ref="P21:Q21"/>
    <mergeCell ref="A18:A19"/>
    <mergeCell ref="B18:B19"/>
    <mergeCell ref="C18:C19"/>
    <mergeCell ref="D18:D19"/>
    <mergeCell ref="P18:Q18"/>
    <mergeCell ref="R18:R19"/>
    <mergeCell ref="S18:S19"/>
    <mergeCell ref="T18:T19"/>
    <mergeCell ref="R16:R17"/>
    <mergeCell ref="S16:S17"/>
    <mergeCell ref="T16:T17"/>
    <mergeCell ref="U14:U15"/>
    <mergeCell ref="P15:Q15"/>
    <mergeCell ref="A16:A17"/>
    <mergeCell ref="B16:B17"/>
    <mergeCell ref="C16:C17"/>
    <mergeCell ref="D16:D17"/>
    <mergeCell ref="P16:Q16"/>
    <mergeCell ref="U16:U17"/>
    <mergeCell ref="P17:Q17"/>
    <mergeCell ref="A14:A15"/>
    <mergeCell ref="B14:B15"/>
    <mergeCell ref="C14:C15"/>
    <mergeCell ref="D14:D15"/>
    <mergeCell ref="P14:Q14"/>
    <mergeCell ref="R14:R15"/>
    <mergeCell ref="S14:S15"/>
    <mergeCell ref="T14:T15"/>
    <mergeCell ref="R12:R13"/>
    <mergeCell ref="S12:S13"/>
    <mergeCell ref="T12:T13"/>
    <mergeCell ref="U10:U11"/>
    <mergeCell ref="P11:Q11"/>
    <mergeCell ref="A12:A13"/>
    <mergeCell ref="B12:B13"/>
    <mergeCell ref="C12:C13"/>
    <mergeCell ref="D12:D13"/>
    <mergeCell ref="P12:Q12"/>
    <mergeCell ref="U12:U13"/>
    <mergeCell ref="P13:Q13"/>
    <mergeCell ref="A10:A11"/>
    <mergeCell ref="B10:B11"/>
    <mergeCell ref="C10:C11"/>
    <mergeCell ref="D10:D11"/>
    <mergeCell ref="P10:Q10"/>
    <mergeCell ref="R10:R11"/>
    <mergeCell ref="S10:S11"/>
    <mergeCell ref="T10:T11"/>
    <mergeCell ref="U6:U7"/>
    <mergeCell ref="P7:Q7"/>
    <mergeCell ref="A8:A9"/>
    <mergeCell ref="B8:B9"/>
    <mergeCell ref="C8:C9"/>
    <mergeCell ref="D8:D9"/>
    <mergeCell ref="P8:Q8"/>
    <mergeCell ref="U8:U9"/>
    <mergeCell ref="P9:Q9"/>
    <mergeCell ref="A6:A7"/>
    <mergeCell ref="B6:B7"/>
    <mergeCell ref="C6:C7"/>
    <mergeCell ref="D6:D7"/>
    <mergeCell ref="P6:Q6"/>
    <mergeCell ref="R6:R7"/>
    <mergeCell ref="S6:S7"/>
    <mergeCell ref="T6:T7"/>
    <mergeCell ref="R8:R9"/>
    <mergeCell ref="S8:S9"/>
    <mergeCell ref="T8:T9"/>
    <mergeCell ref="A1:A3"/>
    <mergeCell ref="B1:U1"/>
    <mergeCell ref="B3:U3"/>
    <mergeCell ref="A4:A5"/>
    <mergeCell ref="B4:B5"/>
    <mergeCell ref="C4:C5"/>
    <mergeCell ref="D4:D5"/>
    <mergeCell ref="E4:O4"/>
    <mergeCell ref="R4:S4"/>
    <mergeCell ref="U4:U5"/>
    <mergeCell ref="P5:Q5"/>
  </mergeCells>
  <pageMargins left="0.24" right="0.16" top="0.3" bottom="0.2" header="0.16" footer="0.2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S51"/>
  <sheetViews>
    <sheetView workbookViewId="0">
      <selection sqref="A1:A3"/>
    </sheetView>
  </sheetViews>
  <sheetFormatPr defaultRowHeight="12.75" x14ac:dyDescent="0.2"/>
  <cols>
    <col min="1" max="1" width="5.140625" customWidth="1"/>
    <col min="2" max="2" width="23.7109375" style="323" customWidth="1"/>
    <col min="3" max="3" width="6.28515625" style="323" customWidth="1"/>
    <col min="4" max="4" width="6.7109375" style="257" customWidth="1"/>
    <col min="5" max="5" width="4.7109375" customWidth="1"/>
    <col min="6" max="36" width="3.140625" customWidth="1"/>
    <col min="37" max="37" width="5" customWidth="1"/>
    <col min="38" max="38" width="5.140625" customWidth="1"/>
    <col min="39" max="39" width="9.28515625" customWidth="1"/>
    <col min="40" max="40" width="7.5703125" customWidth="1"/>
    <col min="41" max="41" width="14.7109375" customWidth="1"/>
    <col min="42" max="42" width="11.28515625" customWidth="1"/>
    <col min="43" max="43" width="14.7109375" customWidth="1"/>
    <col min="44" max="44" width="20.140625" customWidth="1"/>
    <col min="45" max="45" width="0.42578125" customWidth="1"/>
    <col min="46" max="68" width="3.7109375" customWidth="1"/>
  </cols>
  <sheetData>
    <row r="1" spans="1:45" ht="20.25" x14ac:dyDescent="0.2">
      <c r="A1" s="456" t="s">
        <v>11</v>
      </c>
      <c r="B1" s="459" t="s">
        <v>79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  <c r="AK1" s="459"/>
      <c r="AL1" s="459"/>
      <c r="AM1" s="459"/>
      <c r="AN1" s="459"/>
      <c r="AO1" s="459"/>
      <c r="AP1" s="459"/>
      <c r="AQ1" s="459"/>
      <c r="AR1" s="460"/>
    </row>
    <row r="2" spans="1:45" ht="13.5" x14ac:dyDescent="0.2">
      <c r="A2" s="457"/>
      <c r="B2" s="336"/>
      <c r="AR2" s="333"/>
    </row>
    <row r="3" spans="1:45" x14ac:dyDescent="0.2">
      <c r="A3" s="458"/>
      <c r="B3" s="461" t="s">
        <v>162</v>
      </c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  <c r="AM3" s="461"/>
      <c r="AN3" s="461"/>
      <c r="AO3" s="461"/>
      <c r="AP3" s="461"/>
      <c r="AQ3" s="461"/>
      <c r="AR3" s="462"/>
    </row>
    <row r="4" spans="1:45" x14ac:dyDescent="0.2">
      <c r="A4" s="463" t="s">
        <v>81</v>
      </c>
      <c r="B4" s="464" t="s">
        <v>69</v>
      </c>
      <c r="C4" s="466" t="s">
        <v>71</v>
      </c>
      <c r="D4" s="466" t="s">
        <v>70</v>
      </c>
      <c r="E4" s="468" t="s">
        <v>80</v>
      </c>
      <c r="F4" s="469"/>
      <c r="G4" s="469"/>
      <c r="H4" s="469"/>
      <c r="I4" s="469"/>
      <c r="J4" s="469"/>
      <c r="K4" s="469"/>
      <c r="L4" s="469"/>
      <c r="M4" s="469"/>
      <c r="N4" s="469"/>
      <c r="O4" s="469"/>
      <c r="P4" s="469"/>
      <c r="Q4" s="469"/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  <c r="AD4" s="469"/>
      <c r="AE4" s="469"/>
      <c r="AF4" s="469"/>
      <c r="AG4" s="469"/>
      <c r="AH4" s="469"/>
      <c r="AI4" s="469"/>
      <c r="AJ4" s="471"/>
      <c r="AK4" s="325" t="s">
        <v>10</v>
      </c>
      <c r="AL4" s="326"/>
      <c r="AM4" s="470" t="s">
        <v>73</v>
      </c>
      <c r="AN4" s="471"/>
      <c r="AO4" s="324" t="s">
        <v>34</v>
      </c>
      <c r="AP4" s="324" t="s">
        <v>30</v>
      </c>
      <c r="AQ4" s="324" t="s">
        <v>75</v>
      </c>
      <c r="AR4" s="472" t="s">
        <v>78</v>
      </c>
    </row>
    <row r="5" spans="1:45" s="3" customFormat="1" x14ac:dyDescent="0.2">
      <c r="A5" s="463"/>
      <c r="B5" s="465"/>
      <c r="C5" s="467"/>
      <c r="D5" s="467"/>
      <c r="E5" s="1"/>
      <c r="F5" s="1">
        <v>1</v>
      </c>
      <c r="G5" s="1">
        <v>2</v>
      </c>
      <c r="H5" s="1">
        <v>3</v>
      </c>
      <c r="I5" s="1">
        <v>4</v>
      </c>
      <c r="J5" s="1">
        <v>5</v>
      </c>
      <c r="K5" s="1">
        <v>6</v>
      </c>
      <c r="L5" s="1">
        <v>7</v>
      </c>
      <c r="M5" s="398">
        <v>8</v>
      </c>
      <c r="N5" s="1">
        <v>9</v>
      </c>
      <c r="O5" s="1">
        <v>10</v>
      </c>
      <c r="P5" s="1">
        <v>11</v>
      </c>
      <c r="Q5" s="1">
        <v>12</v>
      </c>
      <c r="R5" s="1">
        <v>13</v>
      </c>
      <c r="S5" s="1">
        <v>14</v>
      </c>
      <c r="T5" s="398">
        <v>15</v>
      </c>
      <c r="U5" s="1">
        <v>16</v>
      </c>
      <c r="V5" s="1">
        <v>17</v>
      </c>
      <c r="W5" s="1">
        <v>18</v>
      </c>
      <c r="X5" s="1">
        <v>19</v>
      </c>
      <c r="Y5" s="1">
        <v>20</v>
      </c>
      <c r="Z5" s="1">
        <v>21</v>
      </c>
      <c r="AA5" s="398">
        <v>22</v>
      </c>
      <c r="AB5" s="1">
        <v>23</v>
      </c>
      <c r="AC5" s="1">
        <v>24</v>
      </c>
      <c r="AD5" s="1">
        <v>25</v>
      </c>
      <c r="AE5" s="1">
        <v>26</v>
      </c>
      <c r="AF5" s="1">
        <v>27</v>
      </c>
      <c r="AG5" s="1">
        <v>28</v>
      </c>
      <c r="AH5" s="398">
        <v>29</v>
      </c>
      <c r="AI5" s="1">
        <v>30</v>
      </c>
      <c r="AJ5" s="1">
        <v>31</v>
      </c>
      <c r="AK5" s="455" t="s">
        <v>72</v>
      </c>
      <c r="AL5" s="455"/>
      <c r="AM5" s="2" t="s">
        <v>67</v>
      </c>
      <c r="AN5" s="2" t="s">
        <v>74</v>
      </c>
      <c r="AO5" s="324" t="s">
        <v>76</v>
      </c>
      <c r="AP5" s="324" t="s">
        <v>77</v>
      </c>
      <c r="AQ5" s="324" t="s">
        <v>73</v>
      </c>
      <c r="AR5" s="473"/>
      <c r="AS5" s="322"/>
    </row>
    <row r="6" spans="1:45" x14ac:dyDescent="0.2">
      <c r="A6" s="484">
        <v>1</v>
      </c>
      <c r="B6" s="490" t="s">
        <v>156</v>
      </c>
      <c r="C6" s="502" t="s">
        <v>160</v>
      </c>
      <c r="D6" s="466"/>
      <c r="E6" s="1" t="s">
        <v>67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476">
        <f>SUM(F6:AJ6)</f>
        <v>8</v>
      </c>
      <c r="AL6" s="477"/>
      <c r="AM6" s="466">
        <f>D6*AK6</f>
        <v>0</v>
      </c>
      <c r="AN6" s="466">
        <f>D6/8*AK7</f>
        <v>0</v>
      </c>
      <c r="AO6" s="466">
        <f>AM6+AN6</f>
        <v>0</v>
      </c>
      <c r="AP6" s="466">
        <v>500</v>
      </c>
      <c r="AQ6" s="466">
        <f>AO6-AP6</f>
        <v>-500</v>
      </c>
      <c r="AR6" s="474"/>
    </row>
    <row r="7" spans="1:45" x14ac:dyDescent="0.2">
      <c r="A7" s="484"/>
      <c r="B7" s="486"/>
      <c r="C7" s="503"/>
      <c r="D7" s="467"/>
      <c r="E7" s="1" t="s">
        <v>68</v>
      </c>
      <c r="F7" s="1">
        <v>1</v>
      </c>
      <c r="G7" s="1">
        <v>5</v>
      </c>
      <c r="H7" s="1">
        <v>4</v>
      </c>
      <c r="I7" s="1">
        <v>8</v>
      </c>
      <c r="J7" s="1">
        <v>3</v>
      </c>
      <c r="K7" s="1">
        <v>4</v>
      </c>
      <c r="L7" s="1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476">
        <f>SUM(F7:AJ7)</f>
        <v>26</v>
      </c>
      <c r="AL7" s="477"/>
      <c r="AM7" s="467"/>
      <c r="AN7" s="467"/>
      <c r="AO7" s="467"/>
      <c r="AP7" s="467"/>
      <c r="AQ7" s="467"/>
      <c r="AR7" s="475"/>
    </row>
    <row r="8" spans="1:45" x14ac:dyDescent="0.2">
      <c r="A8" s="478">
        <v>2</v>
      </c>
      <c r="B8" s="481" t="s">
        <v>137</v>
      </c>
      <c r="C8" s="491" t="s">
        <v>123</v>
      </c>
      <c r="D8" s="466"/>
      <c r="E8" s="1" t="s">
        <v>67</v>
      </c>
      <c r="F8" s="1">
        <v>0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476"/>
      <c r="AL8" s="477"/>
      <c r="AM8" s="466">
        <f>D8*AK8</f>
        <v>0</v>
      </c>
      <c r="AN8" s="466">
        <f>D8/8*AK9</f>
        <v>0</v>
      </c>
      <c r="AO8" s="466">
        <f>AM8+AN8</f>
        <v>0</v>
      </c>
      <c r="AP8" s="497"/>
      <c r="AQ8" s="466">
        <f>AO8-AP8</f>
        <v>0</v>
      </c>
      <c r="AR8" s="474"/>
    </row>
    <row r="9" spans="1:45" x14ac:dyDescent="0.2">
      <c r="A9" s="479"/>
      <c r="B9" s="481"/>
      <c r="C9" s="492"/>
      <c r="D9" s="467"/>
      <c r="E9" s="1" t="s">
        <v>68</v>
      </c>
      <c r="F9" s="1">
        <v>0</v>
      </c>
      <c r="G9" s="1">
        <v>5</v>
      </c>
      <c r="H9" s="1">
        <v>4</v>
      </c>
      <c r="I9" s="1">
        <v>8</v>
      </c>
      <c r="J9" s="1">
        <v>3</v>
      </c>
      <c r="K9" s="1">
        <v>4</v>
      </c>
      <c r="L9" s="1"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476"/>
      <c r="AL9" s="477"/>
      <c r="AM9" s="467"/>
      <c r="AN9" s="467"/>
      <c r="AO9" s="467"/>
      <c r="AP9" s="498"/>
      <c r="AQ9" s="467"/>
      <c r="AR9" s="475"/>
    </row>
    <row r="10" spans="1:45" x14ac:dyDescent="0.2">
      <c r="A10" s="478">
        <v>3</v>
      </c>
      <c r="B10" s="490" t="s">
        <v>151</v>
      </c>
      <c r="C10" s="491" t="s">
        <v>161</v>
      </c>
      <c r="D10" s="466"/>
      <c r="E10" s="1" t="s">
        <v>67</v>
      </c>
      <c r="F10" s="1">
        <v>0</v>
      </c>
      <c r="G10" s="1">
        <v>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476"/>
      <c r="AL10" s="477"/>
      <c r="AM10" s="466">
        <f>D10*AK10</f>
        <v>0</v>
      </c>
      <c r="AN10" s="466">
        <f>D10/8*AK11</f>
        <v>0</v>
      </c>
      <c r="AO10" s="466">
        <f>AM10+AN10</f>
        <v>0</v>
      </c>
      <c r="AP10" s="497"/>
      <c r="AQ10" s="466">
        <f>AO10-AP10</f>
        <v>0</v>
      </c>
      <c r="AR10" s="474"/>
    </row>
    <row r="11" spans="1:45" x14ac:dyDescent="0.2">
      <c r="A11" s="479"/>
      <c r="B11" s="486"/>
      <c r="C11" s="492"/>
      <c r="D11" s="467"/>
      <c r="E11" s="1" t="s">
        <v>68</v>
      </c>
      <c r="F11" s="1">
        <v>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476"/>
      <c r="AL11" s="477"/>
      <c r="AM11" s="467"/>
      <c r="AN11" s="467"/>
      <c r="AO11" s="467"/>
      <c r="AP11" s="498"/>
      <c r="AQ11" s="467"/>
      <c r="AR11" s="475"/>
    </row>
    <row r="12" spans="1:45" x14ac:dyDescent="0.2">
      <c r="A12" s="478">
        <v>4</v>
      </c>
      <c r="B12" s="490" t="s">
        <v>157</v>
      </c>
      <c r="C12" s="491" t="s">
        <v>161</v>
      </c>
      <c r="D12" s="466"/>
      <c r="E12" s="1" t="s">
        <v>67</v>
      </c>
      <c r="F12" s="1">
        <v>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476"/>
      <c r="AL12" s="477"/>
      <c r="AM12" s="466">
        <f>D12*AK12</f>
        <v>0</v>
      </c>
      <c r="AN12" s="466">
        <f>D12/8*AK13</f>
        <v>0</v>
      </c>
      <c r="AO12" s="466">
        <f>AM12+AN12</f>
        <v>0</v>
      </c>
      <c r="AP12" s="497"/>
      <c r="AQ12" s="466">
        <f>AO12-AP12</f>
        <v>0</v>
      </c>
      <c r="AR12" s="474"/>
    </row>
    <row r="13" spans="1:45" x14ac:dyDescent="0.2">
      <c r="A13" s="479"/>
      <c r="B13" s="486"/>
      <c r="C13" s="492"/>
      <c r="D13" s="467"/>
      <c r="E13" s="1" t="s">
        <v>68</v>
      </c>
      <c r="F13" s="1">
        <v>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476"/>
      <c r="AL13" s="477"/>
      <c r="AM13" s="467"/>
      <c r="AN13" s="467"/>
      <c r="AO13" s="467"/>
      <c r="AP13" s="498"/>
      <c r="AQ13" s="467"/>
      <c r="AR13" s="475"/>
    </row>
    <row r="14" spans="1:45" x14ac:dyDescent="0.2">
      <c r="A14" s="478">
        <v>5</v>
      </c>
      <c r="B14" s="490" t="s">
        <v>155</v>
      </c>
      <c r="C14" s="491" t="s">
        <v>161</v>
      </c>
      <c r="D14" s="466"/>
      <c r="E14" s="1" t="s">
        <v>67</v>
      </c>
      <c r="F14" s="1">
        <v>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476"/>
      <c r="AL14" s="477"/>
      <c r="AM14" s="466">
        <f>D14*AK14</f>
        <v>0</v>
      </c>
      <c r="AN14" s="466">
        <f>D14/8*AK15</f>
        <v>0</v>
      </c>
      <c r="AO14" s="466">
        <f>AM14+AN14</f>
        <v>0</v>
      </c>
      <c r="AP14" s="497"/>
      <c r="AQ14" s="466">
        <f>AO14-AP14</f>
        <v>0</v>
      </c>
      <c r="AR14" s="474"/>
    </row>
    <row r="15" spans="1:45" x14ac:dyDescent="0.2">
      <c r="A15" s="479"/>
      <c r="B15" s="486"/>
      <c r="C15" s="492"/>
      <c r="D15" s="467"/>
      <c r="E15" s="1" t="s">
        <v>68</v>
      </c>
      <c r="F15" s="1"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476"/>
      <c r="AL15" s="477"/>
      <c r="AM15" s="467"/>
      <c r="AN15" s="467"/>
      <c r="AO15" s="467"/>
      <c r="AP15" s="498"/>
      <c r="AQ15" s="467"/>
      <c r="AR15" s="475"/>
    </row>
    <row r="16" spans="1:45" x14ac:dyDescent="0.2">
      <c r="A16" s="478">
        <v>6</v>
      </c>
      <c r="B16" s="490" t="s">
        <v>158</v>
      </c>
      <c r="C16" s="491" t="s">
        <v>161</v>
      </c>
      <c r="D16" s="466"/>
      <c r="E16" s="1" t="s">
        <v>67</v>
      </c>
      <c r="F16" s="1"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476"/>
      <c r="AL16" s="477"/>
      <c r="AM16" s="466">
        <f>D16*AK16</f>
        <v>0</v>
      </c>
      <c r="AN16" s="466">
        <f>D16/8*AK17</f>
        <v>0</v>
      </c>
      <c r="AO16" s="466">
        <f>AM16+AN16</f>
        <v>0</v>
      </c>
      <c r="AP16" s="497"/>
      <c r="AQ16" s="466">
        <f>AO16-AP16</f>
        <v>0</v>
      </c>
      <c r="AR16" s="474"/>
    </row>
    <row r="17" spans="1:44" x14ac:dyDescent="0.2">
      <c r="A17" s="479"/>
      <c r="B17" s="486"/>
      <c r="C17" s="492"/>
      <c r="D17" s="467"/>
      <c r="E17" s="1" t="s">
        <v>68</v>
      </c>
      <c r="F17" s="1"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476"/>
      <c r="AL17" s="477"/>
      <c r="AM17" s="467"/>
      <c r="AN17" s="467"/>
      <c r="AO17" s="467"/>
      <c r="AP17" s="498"/>
      <c r="AQ17" s="467"/>
      <c r="AR17" s="475"/>
    </row>
    <row r="18" spans="1:44" x14ac:dyDescent="0.2">
      <c r="A18" s="478">
        <v>7</v>
      </c>
      <c r="B18" s="490" t="s">
        <v>141</v>
      </c>
      <c r="C18" s="491" t="s">
        <v>83</v>
      </c>
      <c r="D18" s="466">
        <v>300</v>
      </c>
      <c r="E18" s="1" t="s">
        <v>67</v>
      </c>
      <c r="F18" s="1"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476"/>
      <c r="AL18" s="477"/>
      <c r="AM18" s="466">
        <f>D18*AK18</f>
        <v>0</v>
      </c>
      <c r="AN18" s="466">
        <f>D18/8*AK19</f>
        <v>0</v>
      </c>
      <c r="AO18" s="466">
        <f>AM18+AN18</f>
        <v>0</v>
      </c>
      <c r="AP18" s="497"/>
      <c r="AQ18" s="466">
        <f>AO18-AP18</f>
        <v>0</v>
      </c>
      <c r="AR18" s="474"/>
    </row>
    <row r="19" spans="1:44" x14ac:dyDescent="0.2">
      <c r="A19" s="479"/>
      <c r="B19" s="486"/>
      <c r="C19" s="492"/>
      <c r="D19" s="467"/>
      <c r="E19" s="1" t="s">
        <v>68</v>
      </c>
      <c r="F19" s="1"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476"/>
      <c r="AL19" s="477"/>
      <c r="AM19" s="467"/>
      <c r="AN19" s="467"/>
      <c r="AO19" s="467"/>
      <c r="AP19" s="498"/>
      <c r="AQ19" s="467"/>
      <c r="AR19" s="475"/>
    </row>
    <row r="20" spans="1:44" x14ac:dyDescent="0.2">
      <c r="A20" s="478">
        <v>8</v>
      </c>
      <c r="B20" s="490" t="s">
        <v>142</v>
      </c>
      <c r="C20" s="491" t="s">
        <v>83</v>
      </c>
      <c r="D20" s="466">
        <v>300</v>
      </c>
      <c r="E20" s="1" t="s">
        <v>67</v>
      </c>
      <c r="F20" s="1"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76"/>
      <c r="AL20" s="477"/>
      <c r="AM20" s="466">
        <f>D20*AK20</f>
        <v>0</v>
      </c>
      <c r="AN20" s="466">
        <f>D20/8*AK21</f>
        <v>0</v>
      </c>
      <c r="AO20" s="466">
        <f>AM20+AN20</f>
        <v>0</v>
      </c>
      <c r="AP20" s="497"/>
      <c r="AQ20" s="466">
        <f>AO20-AP20</f>
        <v>0</v>
      </c>
      <c r="AR20" s="474"/>
    </row>
    <row r="21" spans="1:44" x14ac:dyDescent="0.2">
      <c r="A21" s="479"/>
      <c r="B21" s="486"/>
      <c r="C21" s="492"/>
      <c r="D21" s="467"/>
      <c r="E21" s="1" t="s">
        <v>68</v>
      </c>
      <c r="F21" s="1"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476"/>
      <c r="AL21" s="477"/>
      <c r="AM21" s="467"/>
      <c r="AN21" s="467"/>
      <c r="AO21" s="467"/>
      <c r="AP21" s="498"/>
      <c r="AQ21" s="467"/>
      <c r="AR21" s="475"/>
    </row>
    <row r="22" spans="1:44" x14ac:dyDescent="0.2">
      <c r="A22" s="478">
        <v>9</v>
      </c>
      <c r="B22" s="490" t="s">
        <v>143</v>
      </c>
      <c r="C22" s="491" t="s">
        <v>83</v>
      </c>
      <c r="D22" s="466">
        <v>300</v>
      </c>
      <c r="E22" s="1" t="s">
        <v>67</v>
      </c>
      <c r="F22" s="1"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476"/>
      <c r="AL22" s="477"/>
      <c r="AM22" s="466">
        <f>D22*AK22</f>
        <v>0</v>
      </c>
      <c r="AN22" s="466">
        <f>D22/8*AK23</f>
        <v>0</v>
      </c>
      <c r="AO22" s="466">
        <f>AM22+AN22</f>
        <v>0</v>
      </c>
      <c r="AP22" s="497"/>
      <c r="AQ22" s="466">
        <f>AO22-AP22</f>
        <v>0</v>
      </c>
      <c r="AR22" s="474"/>
    </row>
    <row r="23" spans="1:44" x14ac:dyDescent="0.2">
      <c r="A23" s="479"/>
      <c r="B23" s="486"/>
      <c r="C23" s="492"/>
      <c r="D23" s="467"/>
      <c r="E23" s="1" t="s">
        <v>68</v>
      </c>
      <c r="F23" s="1"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476"/>
      <c r="AL23" s="477"/>
      <c r="AM23" s="467"/>
      <c r="AN23" s="467"/>
      <c r="AO23" s="467"/>
      <c r="AP23" s="498"/>
      <c r="AQ23" s="467"/>
      <c r="AR23" s="475"/>
    </row>
    <row r="24" spans="1:44" x14ac:dyDescent="0.2">
      <c r="A24" s="478">
        <v>10</v>
      </c>
      <c r="B24" s="490" t="s">
        <v>144</v>
      </c>
      <c r="C24" s="491" t="s">
        <v>83</v>
      </c>
      <c r="D24" s="466">
        <v>300</v>
      </c>
      <c r="E24" s="1" t="s">
        <v>67</v>
      </c>
      <c r="F24" s="1"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476"/>
      <c r="AL24" s="477"/>
      <c r="AM24" s="466">
        <f>D24*AK24</f>
        <v>0</v>
      </c>
      <c r="AN24" s="466">
        <f>D24/8*AK25</f>
        <v>0</v>
      </c>
      <c r="AO24" s="466">
        <f>AM24+AN24</f>
        <v>0</v>
      </c>
      <c r="AP24" s="497"/>
      <c r="AQ24" s="466">
        <f>AO24-AP24</f>
        <v>0</v>
      </c>
      <c r="AR24" s="474"/>
    </row>
    <row r="25" spans="1:44" x14ac:dyDescent="0.2">
      <c r="A25" s="479"/>
      <c r="B25" s="486"/>
      <c r="C25" s="492"/>
      <c r="D25" s="467"/>
      <c r="E25" s="1" t="s">
        <v>68</v>
      </c>
      <c r="F25" s="1"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476"/>
      <c r="AL25" s="477"/>
      <c r="AM25" s="467"/>
      <c r="AN25" s="467"/>
      <c r="AO25" s="467"/>
      <c r="AP25" s="498"/>
      <c r="AQ25" s="467"/>
      <c r="AR25" s="475"/>
    </row>
    <row r="26" spans="1:44" x14ac:dyDescent="0.2">
      <c r="A26" s="478">
        <v>11</v>
      </c>
      <c r="B26" s="490" t="s">
        <v>145</v>
      </c>
      <c r="C26" s="491" t="s">
        <v>83</v>
      </c>
      <c r="D26" s="466">
        <v>300</v>
      </c>
      <c r="E26" s="1" t="s">
        <v>67</v>
      </c>
      <c r="F26" s="1"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476"/>
      <c r="AL26" s="477"/>
      <c r="AM26" s="466">
        <f>D26*AK26</f>
        <v>0</v>
      </c>
      <c r="AN26" s="466">
        <f>D26/8*AK27</f>
        <v>0</v>
      </c>
      <c r="AO26" s="466">
        <f>AM26+AN26</f>
        <v>0</v>
      </c>
      <c r="AP26" s="497"/>
      <c r="AQ26" s="466">
        <f>AO26-AP26</f>
        <v>0</v>
      </c>
      <c r="AR26" s="474"/>
    </row>
    <row r="27" spans="1:44" x14ac:dyDescent="0.2">
      <c r="A27" s="479"/>
      <c r="B27" s="486"/>
      <c r="C27" s="492"/>
      <c r="D27" s="467"/>
      <c r="E27" s="1" t="s">
        <v>68</v>
      </c>
      <c r="F27" s="1"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476"/>
      <c r="AL27" s="477"/>
      <c r="AM27" s="467"/>
      <c r="AN27" s="467"/>
      <c r="AO27" s="467"/>
      <c r="AP27" s="498"/>
      <c r="AQ27" s="467"/>
      <c r="AR27" s="475"/>
    </row>
    <row r="28" spans="1:44" x14ac:dyDescent="0.2">
      <c r="A28" s="478">
        <v>12</v>
      </c>
      <c r="B28" s="490" t="s">
        <v>146</v>
      </c>
      <c r="C28" s="491" t="s">
        <v>83</v>
      </c>
      <c r="D28" s="466">
        <v>300</v>
      </c>
      <c r="E28" s="1" t="s">
        <v>67</v>
      </c>
      <c r="F28" s="1">
        <v>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476"/>
      <c r="AL28" s="477"/>
      <c r="AM28" s="466">
        <f>D28*AK28</f>
        <v>0</v>
      </c>
      <c r="AN28" s="466">
        <f>D28/8*AK29</f>
        <v>0</v>
      </c>
      <c r="AO28" s="466">
        <f>AM28+AN28</f>
        <v>0</v>
      </c>
      <c r="AP28" s="497"/>
      <c r="AQ28" s="466">
        <f>AO28-AP28</f>
        <v>0</v>
      </c>
      <c r="AR28" s="474"/>
    </row>
    <row r="29" spans="1:44" x14ac:dyDescent="0.2">
      <c r="A29" s="479"/>
      <c r="B29" s="486"/>
      <c r="C29" s="492"/>
      <c r="D29" s="467"/>
      <c r="E29" s="1" t="s">
        <v>68</v>
      </c>
      <c r="F29" s="1">
        <v>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76"/>
      <c r="AL29" s="477"/>
      <c r="AM29" s="467"/>
      <c r="AN29" s="467"/>
      <c r="AO29" s="467"/>
      <c r="AP29" s="498"/>
      <c r="AQ29" s="467"/>
      <c r="AR29" s="475"/>
    </row>
    <row r="30" spans="1:44" x14ac:dyDescent="0.2">
      <c r="A30" s="478">
        <v>13</v>
      </c>
      <c r="B30" s="490" t="s">
        <v>147</v>
      </c>
      <c r="C30" s="491" t="s">
        <v>83</v>
      </c>
      <c r="D30" s="466">
        <v>300</v>
      </c>
      <c r="E30" s="1" t="s">
        <v>67</v>
      </c>
      <c r="F30" s="1">
        <v>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76"/>
      <c r="AL30" s="477"/>
      <c r="AM30" s="466">
        <f>D30*AK30</f>
        <v>0</v>
      </c>
      <c r="AN30" s="466">
        <f>D30/8*AK31</f>
        <v>0</v>
      </c>
      <c r="AO30" s="466">
        <f>AM30+AN30</f>
        <v>0</v>
      </c>
      <c r="AP30" s="497"/>
      <c r="AQ30" s="466">
        <f>AO30-AP30</f>
        <v>0</v>
      </c>
      <c r="AR30" s="474"/>
    </row>
    <row r="31" spans="1:44" x14ac:dyDescent="0.2">
      <c r="A31" s="479"/>
      <c r="B31" s="486"/>
      <c r="C31" s="492"/>
      <c r="D31" s="467"/>
      <c r="E31" s="1" t="s">
        <v>68</v>
      </c>
      <c r="F31" s="1">
        <v>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76"/>
      <c r="AL31" s="477"/>
      <c r="AM31" s="467"/>
      <c r="AN31" s="467"/>
      <c r="AO31" s="467"/>
      <c r="AP31" s="498"/>
      <c r="AQ31" s="467"/>
      <c r="AR31" s="475"/>
    </row>
    <row r="32" spans="1:44" x14ac:dyDescent="0.2">
      <c r="A32" s="478">
        <v>14</v>
      </c>
      <c r="B32" s="490" t="s">
        <v>148</v>
      </c>
      <c r="C32" s="491" t="s">
        <v>83</v>
      </c>
      <c r="D32" s="466">
        <v>300</v>
      </c>
      <c r="E32" s="1" t="s">
        <v>67</v>
      </c>
      <c r="F32" s="1">
        <v>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76"/>
      <c r="AL32" s="477"/>
      <c r="AM32" s="466">
        <f>D32*AK32</f>
        <v>0</v>
      </c>
      <c r="AN32" s="466">
        <f>D32/8*AK33</f>
        <v>0</v>
      </c>
      <c r="AO32" s="466">
        <f>AM32+AN32</f>
        <v>0</v>
      </c>
      <c r="AP32" s="497"/>
      <c r="AQ32" s="466">
        <f>AO32-AP32</f>
        <v>0</v>
      </c>
      <c r="AR32" s="474"/>
    </row>
    <row r="33" spans="1:44" x14ac:dyDescent="0.2">
      <c r="A33" s="479"/>
      <c r="B33" s="486"/>
      <c r="C33" s="492"/>
      <c r="D33" s="467"/>
      <c r="E33" s="1" t="s">
        <v>68</v>
      </c>
      <c r="F33" s="1">
        <v>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476"/>
      <c r="AL33" s="477"/>
      <c r="AM33" s="467"/>
      <c r="AN33" s="467"/>
      <c r="AO33" s="467"/>
      <c r="AP33" s="498"/>
      <c r="AQ33" s="467"/>
      <c r="AR33" s="475"/>
    </row>
    <row r="34" spans="1:44" x14ac:dyDescent="0.2">
      <c r="A34" s="478">
        <v>15</v>
      </c>
      <c r="B34" s="490" t="s">
        <v>159</v>
      </c>
      <c r="C34" s="491" t="s">
        <v>83</v>
      </c>
      <c r="D34" s="466">
        <v>300</v>
      </c>
      <c r="E34" s="1" t="s">
        <v>67</v>
      </c>
      <c r="F34" s="1">
        <v>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476"/>
      <c r="AL34" s="477"/>
      <c r="AM34" s="466">
        <f>D34*AK34</f>
        <v>0</v>
      </c>
      <c r="AN34" s="466">
        <f>D34/8*AK35</f>
        <v>0</v>
      </c>
      <c r="AO34" s="466">
        <f>AM34+AN34</f>
        <v>0</v>
      </c>
      <c r="AP34" s="497"/>
      <c r="AQ34" s="466">
        <f>AO34-AP34</f>
        <v>0</v>
      </c>
      <c r="AR34" s="474"/>
    </row>
    <row r="35" spans="1:44" x14ac:dyDescent="0.2">
      <c r="A35" s="479"/>
      <c r="B35" s="486"/>
      <c r="C35" s="492"/>
      <c r="D35" s="467"/>
      <c r="E35" s="1" t="s">
        <v>68</v>
      </c>
      <c r="F35" s="1">
        <v>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476"/>
      <c r="AL35" s="477"/>
      <c r="AM35" s="467"/>
      <c r="AN35" s="467"/>
      <c r="AO35" s="467"/>
      <c r="AP35" s="498"/>
      <c r="AQ35" s="467"/>
      <c r="AR35" s="475"/>
    </row>
    <row r="36" spans="1:44" x14ac:dyDescent="0.2">
      <c r="A36" s="478">
        <v>16</v>
      </c>
      <c r="B36" s="490" t="s">
        <v>149</v>
      </c>
      <c r="C36" s="491" t="s">
        <v>83</v>
      </c>
      <c r="D36" s="466">
        <v>300</v>
      </c>
      <c r="E36" s="1" t="s">
        <v>67</v>
      </c>
      <c r="F36" s="1">
        <v>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476"/>
      <c r="AL36" s="477"/>
      <c r="AM36" s="466">
        <f>D36*AK36</f>
        <v>0</v>
      </c>
      <c r="AN36" s="466">
        <f>D36/8*AK37</f>
        <v>0</v>
      </c>
      <c r="AO36" s="466">
        <f>AM36+AN36</f>
        <v>0</v>
      </c>
      <c r="AP36" s="497"/>
      <c r="AQ36" s="466">
        <f>AO36-AP36</f>
        <v>0</v>
      </c>
      <c r="AR36" s="474"/>
    </row>
    <row r="37" spans="1:44" x14ac:dyDescent="0.2">
      <c r="A37" s="479"/>
      <c r="B37" s="486"/>
      <c r="C37" s="492"/>
      <c r="D37" s="467"/>
      <c r="E37" s="1" t="s">
        <v>68</v>
      </c>
      <c r="F37" s="1">
        <v>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476"/>
      <c r="AL37" s="477"/>
      <c r="AM37" s="467"/>
      <c r="AN37" s="467"/>
      <c r="AO37" s="467"/>
      <c r="AP37" s="498"/>
      <c r="AQ37" s="467"/>
      <c r="AR37" s="475"/>
    </row>
    <row r="38" spans="1:44" x14ac:dyDescent="0.2">
      <c r="A38" s="478">
        <v>17</v>
      </c>
      <c r="B38" s="481" t="s">
        <v>90</v>
      </c>
      <c r="C38" s="491" t="s">
        <v>83</v>
      </c>
      <c r="D38" s="466">
        <v>300</v>
      </c>
      <c r="E38" s="1" t="s">
        <v>67</v>
      </c>
      <c r="F38" s="1">
        <v>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476"/>
      <c r="AL38" s="477"/>
      <c r="AM38" s="466">
        <f>D38*AK38</f>
        <v>0</v>
      </c>
      <c r="AN38" s="466">
        <f>D38/8*AK39</f>
        <v>0</v>
      </c>
      <c r="AO38" s="466">
        <f>AM38+AN38</f>
        <v>0</v>
      </c>
      <c r="AP38" s="497"/>
      <c r="AQ38" s="466">
        <f>AO38-AP38</f>
        <v>0</v>
      </c>
      <c r="AR38" s="474"/>
    </row>
    <row r="39" spans="1:44" x14ac:dyDescent="0.2">
      <c r="A39" s="479"/>
      <c r="B39" s="481"/>
      <c r="C39" s="492"/>
      <c r="D39" s="467"/>
      <c r="E39" s="1" t="s">
        <v>68</v>
      </c>
      <c r="F39" s="1">
        <v>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476"/>
      <c r="AL39" s="477"/>
      <c r="AM39" s="467"/>
      <c r="AN39" s="467"/>
      <c r="AO39" s="467"/>
      <c r="AP39" s="498"/>
      <c r="AQ39" s="467"/>
      <c r="AR39" s="475"/>
    </row>
    <row r="40" spans="1:44" x14ac:dyDescent="0.2">
      <c r="A40" s="479">
        <v>18</v>
      </c>
      <c r="B40" s="509" t="s">
        <v>150</v>
      </c>
      <c r="C40" s="491" t="s">
        <v>83</v>
      </c>
      <c r="D40" s="466">
        <v>300</v>
      </c>
      <c r="E40" s="1" t="s">
        <v>67</v>
      </c>
      <c r="F40" s="1"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476"/>
      <c r="AL40" s="477"/>
      <c r="AM40" s="466">
        <f t="shared" ref="AM40" si="0">D40*AK40</f>
        <v>0</v>
      </c>
      <c r="AN40" s="466">
        <f t="shared" ref="AN40" si="1">D40/8*AK41</f>
        <v>0</v>
      </c>
      <c r="AO40" s="466">
        <f t="shared" ref="AO40" si="2">AM40+AN40</f>
        <v>0</v>
      </c>
      <c r="AP40" s="497"/>
      <c r="AQ40" s="466">
        <f t="shared" ref="AQ40" si="3">AO40-AP40</f>
        <v>0</v>
      </c>
      <c r="AR40" s="395"/>
    </row>
    <row r="41" spans="1:44" x14ac:dyDescent="0.2">
      <c r="A41" s="479"/>
      <c r="B41" s="510"/>
      <c r="C41" s="492"/>
      <c r="D41" s="467"/>
      <c r="E41" s="1" t="s">
        <v>68</v>
      </c>
      <c r="F41" s="1"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476"/>
      <c r="AL41" s="477"/>
      <c r="AM41" s="467"/>
      <c r="AN41" s="467"/>
      <c r="AO41" s="467"/>
      <c r="AP41" s="499"/>
      <c r="AQ41" s="467"/>
      <c r="AR41" s="395"/>
    </row>
    <row r="42" spans="1:44" x14ac:dyDescent="0.2">
      <c r="A42" s="479">
        <v>19</v>
      </c>
      <c r="B42" s="509" t="s">
        <v>152</v>
      </c>
      <c r="C42" s="491" t="s">
        <v>83</v>
      </c>
      <c r="D42" s="466">
        <v>300</v>
      </c>
      <c r="E42" s="1" t="s">
        <v>67</v>
      </c>
      <c r="F42" s="1">
        <v>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476"/>
      <c r="AL42" s="477"/>
      <c r="AM42" s="466">
        <f t="shared" ref="AM42" si="4">D42*AK42</f>
        <v>0</v>
      </c>
      <c r="AN42" s="466">
        <f t="shared" ref="AN42" si="5">D42/8*AK43</f>
        <v>0</v>
      </c>
      <c r="AO42" s="466">
        <f t="shared" ref="AO42" si="6">AM42+AN42</f>
        <v>0</v>
      </c>
      <c r="AP42" s="499"/>
      <c r="AQ42" s="466">
        <f t="shared" ref="AQ42" si="7">AO42-AP42</f>
        <v>0</v>
      </c>
      <c r="AR42" s="395"/>
    </row>
    <row r="43" spans="1:44" x14ac:dyDescent="0.2">
      <c r="A43" s="479"/>
      <c r="B43" s="510"/>
      <c r="C43" s="492"/>
      <c r="D43" s="467"/>
      <c r="E43" s="1" t="s">
        <v>68</v>
      </c>
      <c r="F43" s="1"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476"/>
      <c r="AL43" s="477"/>
      <c r="AM43" s="467"/>
      <c r="AN43" s="467"/>
      <c r="AO43" s="467"/>
      <c r="AP43" s="499"/>
      <c r="AQ43" s="467"/>
      <c r="AR43" s="395"/>
    </row>
    <row r="44" spans="1:44" x14ac:dyDescent="0.2">
      <c r="A44" s="479">
        <v>20</v>
      </c>
      <c r="B44" s="509" t="s">
        <v>153</v>
      </c>
      <c r="C44" s="491" t="s">
        <v>83</v>
      </c>
      <c r="D44" s="466">
        <v>300</v>
      </c>
      <c r="E44" s="1" t="s">
        <v>67</v>
      </c>
      <c r="F44" s="1"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476"/>
      <c r="AL44" s="477"/>
      <c r="AM44" s="466">
        <f t="shared" ref="AM44" si="8">D44*AK44</f>
        <v>0</v>
      </c>
      <c r="AN44" s="466">
        <f t="shared" ref="AN44" si="9">D44/8*AK45</f>
        <v>0</v>
      </c>
      <c r="AO44" s="466">
        <f t="shared" ref="AO44:AO48" si="10">AM44+AN44</f>
        <v>0</v>
      </c>
      <c r="AP44" s="499"/>
      <c r="AQ44" s="466">
        <f t="shared" ref="AQ44:AQ46" si="11">AO44-AP44</f>
        <v>0</v>
      </c>
      <c r="AR44" s="395"/>
    </row>
    <row r="45" spans="1:44" x14ac:dyDescent="0.2">
      <c r="A45" s="508"/>
      <c r="B45" s="510"/>
      <c r="C45" s="492"/>
      <c r="D45" s="467"/>
      <c r="E45" s="1" t="s">
        <v>68</v>
      </c>
      <c r="F45" s="1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476"/>
      <c r="AL45" s="477"/>
      <c r="AM45" s="467"/>
      <c r="AN45" s="467"/>
      <c r="AO45" s="467"/>
      <c r="AP45" s="498"/>
      <c r="AQ45" s="467"/>
      <c r="AR45" s="395"/>
    </row>
    <row r="46" spans="1:44" x14ac:dyDescent="0.2">
      <c r="A46" s="478">
        <v>21</v>
      </c>
      <c r="B46" s="471" t="s">
        <v>154</v>
      </c>
      <c r="C46" s="491" t="s">
        <v>83</v>
      </c>
      <c r="D46" s="496">
        <v>300</v>
      </c>
      <c r="E46" s="1" t="s">
        <v>67</v>
      </c>
      <c r="F46" s="1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476"/>
      <c r="AL46" s="477"/>
      <c r="AM46" s="466">
        <f>D46*AK46</f>
        <v>0</v>
      </c>
      <c r="AN46" s="466">
        <f>D46/8*AK47</f>
        <v>0</v>
      </c>
      <c r="AO46" s="466">
        <f t="shared" si="10"/>
        <v>0</v>
      </c>
      <c r="AP46" s="497"/>
      <c r="AQ46" s="466">
        <f t="shared" si="11"/>
        <v>0</v>
      </c>
      <c r="AR46" s="474"/>
    </row>
    <row r="47" spans="1:44" x14ac:dyDescent="0.2">
      <c r="A47" s="479"/>
      <c r="B47" s="464"/>
      <c r="C47" s="492"/>
      <c r="D47" s="466"/>
      <c r="E47" s="1" t="s">
        <v>68</v>
      </c>
      <c r="F47" s="1"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476"/>
      <c r="AL47" s="477"/>
      <c r="AM47" s="501"/>
      <c r="AN47" s="467"/>
      <c r="AO47" s="467"/>
      <c r="AP47" s="499"/>
      <c r="AQ47" s="467"/>
      <c r="AR47" s="500"/>
    </row>
    <row r="48" spans="1:44" x14ac:dyDescent="0.2">
      <c r="A48" s="479">
        <v>22</v>
      </c>
      <c r="B48" s="504"/>
      <c r="C48" s="491" t="s">
        <v>83</v>
      </c>
      <c r="D48" s="496">
        <v>300</v>
      </c>
      <c r="E48" s="1" t="s">
        <v>67</v>
      </c>
      <c r="F48" s="1"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476"/>
      <c r="AL48" s="477"/>
      <c r="AM48" s="466">
        <f>D48*AK48</f>
        <v>0</v>
      </c>
      <c r="AN48" s="466">
        <f>D48/8*AK49</f>
        <v>0</v>
      </c>
      <c r="AO48" s="466">
        <f t="shared" si="10"/>
        <v>0</v>
      </c>
      <c r="AP48" s="497"/>
      <c r="AQ48" s="466">
        <f>AO48-AP48</f>
        <v>0</v>
      </c>
      <c r="AR48" s="2"/>
    </row>
    <row r="49" spans="1:44" ht="13.5" thickBot="1" x14ac:dyDescent="0.25">
      <c r="A49" s="479"/>
      <c r="B49" s="504"/>
      <c r="C49" s="505"/>
      <c r="D49" s="466"/>
      <c r="E49" s="1" t="s">
        <v>68</v>
      </c>
      <c r="F49" s="1"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506"/>
      <c r="AL49" s="507"/>
      <c r="AM49" s="501"/>
      <c r="AN49" s="467"/>
      <c r="AO49" s="467"/>
      <c r="AP49" s="499"/>
      <c r="AQ49" s="501"/>
      <c r="AR49" s="396"/>
    </row>
    <row r="50" spans="1:44" x14ac:dyDescent="0.2">
      <c r="A50" s="397"/>
      <c r="B50" s="493" t="s">
        <v>34</v>
      </c>
      <c r="C50" s="327"/>
      <c r="D50" s="334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  <c r="X50" s="328"/>
      <c r="Y50" s="328"/>
      <c r="Z50" s="328"/>
      <c r="AA50" s="328"/>
      <c r="AB50" s="328"/>
      <c r="AC50" s="328"/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9"/>
    </row>
    <row r="51" spans="1:44" ht="13.5" thickBot="1" x14ac:dyDescent="0.25">
      <c r="A51" s="338"/>
      <c r="B51" s="494"/>
      <c r="C51" s="330"/>
      <c r="D51" s="335"/>
      <c r="E51" s="331"/>
      <c r="F51" s="331"/>
      <c r="G51" s="331"/>
      <c r="H51" s="331"/>
      <c r="I51" s="331"/>
      <c r="J51" s="331"/>
      <c r="K51" s="331"/>
      <c r="L51" s="331"/>
      <c r="M51" s="331"/>
      <c r="N51" s="331"/>
      <c r="O51" s="331"/>
      <c r="P51" s="331"/>
      <c r="Q51" s="331"/>
      <c r="R51" s="331"/>
      <c r="S51" s="331"/>
      <c r="T51" s="331"/>
      <c r="U51" s="331"/>
      <c r="V51" s="331"/>
      <c r="W51" s="331"/>
      <c r="X51" s="331"/>
      <c r="Y51" s="331"/>
      <c r="Z51" s="331"/>
      <c r="AA51" s="331"/>
      <c r="AB51" s="331"/>
      <c r="AC51" s="331"/>
      <c r="AD51" s="331"/>
      <c r="AE51" s="331"/>
      <c r="AF51" s="331"/>
      <c r="AG51" s="331"/>
      <c r="AH51" s="331"/>
      <c r="AI51" s="331"/>
      <c r="AJ51" s="331"/>
      <c r="AK51" s="331"/>
      <c r="AL51" s="331"/>
      <c r="AM51" s="331"/>
      <c r="AN51" s="331"/>
      <c r="AO51" s="331"/>
      <c r="AP51" s="331"/>
      <c r="AQ51" s="331"/>
      <c r="AR51" s="332"/>
    </row>
  </sheetData>
  <mergeCells count="272">
    <mergeCell ref="AM44:AM45"/>
    <mergeCell ref="AN44:AN45"/>
    <mergeCell ref="AO44:AO45"/>
    <mergeCell ref="AP44:AP45"/>
    <mergeCell ref="AQ44:AQ45"/>
    <mergeCell ref="AN48:AN49"/>
    <mergeCell ref="AO48:AO49"/>
    <mergeCell ref="AQ48:AQ49"/>
    <mergeCell ref="AP48:AP49"/>
    <mergeCell ref="AM48:AM49"/>
    <mergeCell ref="AQ46:AQ47"/>
    <mergeCell ref="AM40:AM41"/>
    <mergeCell ref="AN40:AN41"/>
    <mergeCell ref="AO40:AO41"/>
    <mergeCell ref="AP40:AP41"/>
    <mergeCell ref="AQ40:AQ41"/>
    <mergeCell ref="AM42:AM43"/>
    <mergeCell ref="AN42:AN43"/>
    <mergeCell ref="AO42:AO43"/>
    <mergeCell ref="AP42:AP43"/>
    <mergeCell ref="AQ42:AQ43"/>
    <mergeCell ref="A48:A49"/>
    <mergeCell ref="B48:B49"/>
    <mergeCell ref="C48:C49"/>
    <mergeCell ref="D48:D49"/>
    <mergeCell ref="AK40:AL40"/>
    <mergeCell ref="AK41:AL41"/>
    <mergeCell ref="AK42:AL42"/>
    <mergeCell ref="AK43:AL43"/>
    <mergeCell ref="AK44:AL44"/>
    <mergeCell ref="AK45:AL45"/>
    <mergeCell ref="AK47:AL47"/>
    <mergeCell ref="AK48:AL48"/>
    <mergeCell ref="AK49:AL49"/>
    <mergeCell ref="A40:A41"/>
    <mergeCell ref="A42:A43"/>
    <mergeCell ref="A44:A45"/>
    <mergeCell ref="B40:B41"/>
    <mergeCell ref="B42:B43"/>
    <mergeCell ref="B44:B45"/>
    <mergeCell ref="C6:C7"/>
    <mergeCell ref="C40:C41"/>
    <mergeCell ref="C42:C43"/>
    <mergeCell ref="C44:C45"/>
    <mergeCell ref="AK5:AL5"/>
    <mergeCell ref="C16:C17"/>
    <mergeCell ref="C18:C19"/>
    <mergeCell ref="C20:C21"/>
    <mergeCell ref="C22:C23"/>
    <mergeCell ref="AK6:AL6"/>
    <mergeCell ref="AK7:AL7"/>
    <mergeCell ref="AK8:AL8"/>
    <mergeCell ref="AK9:AL9"/>
    <mergeCell ref="AK10:AL10"/>
    <mergeCell ref="AK11:AL11"/>
    <mergeCell ref="AK12:AL12"/>
    <mergeCell ref="D40:D41"/>
    <mergeCell ref="D42:D43"/>
    <mergeCell ref="D44:D45"/>
    <mergeCell ref="B16:B17"/>
    <mergeCell ref="B18:B19"/>
    <mergeCell ref="B20:B21"/>
    <mergeCell ref="B22:B23"/>
    <mergeCell ref="B6:B7"/>
    <mergeCell ref="B8:B9"/>
    <mergeCell ref="B10:B11"/>
    <mergeCell ref="B12:B13"/>
    <mergeCell ref="B14:B15"/>
    <mergeCell ref="B1:AR1"/>
    <mergeCell ref="B3:AR3"/>
    <mergeCell ref="AR16:AR17"/>
    <mergeCell ref="AR18:AR19"/>
    <mergeCell ref="AR20:AR21"/>
    <mergeCell ref="AR22:AR23"/>
    <mergeCell ref="B32:B33"/>
    <mergeCell ref="B34:B35"/>
    <mergeCell ref="B36:B37"/>
    <mergeCell ref="C32:C33"/>
    <mergeCell ref="D32:D33"/>
    <mergeCell ref="C34:C35"/>
    <mergeCell ref="D34:D35"/>
    <mergeCell ref="C36:C37"/>
    <mergeCell ref="D36:D37"/>
    <mergeCell ref="D20:D21"/>
    <mergeCell ref="D22:D23"/>
    <mergeCell ref="D24:D25"/>
    <mergeCell ref="D26:D27"/>
    <mergeCell ref="D28:D29"/>
    <mergeCell ref="D30:D31"/>
    <mergeCell ref="C24:C25"/>
    <mergeCell ref="C26:C27"/>
    <mergeCell ref="C28:C29"/>
    <mergeCell ref="B50:B51"/>
    <mergeCell ref="C46:C47"/>
    <mergeCell ref="D46:D47"/>
    <mergeCell ref="AM4:AN4"/>
    <mergeCell ref="AR6:AR7"/>
    <mergeCell ref="AR8:AR9"/>
    <mergeCell ref="AR10:AR11"/>
    <mergeCell ref="AR12:AR13"/>
    <mergeCell ref="AR14:AR15"/>
    <mergeCell ref="B38:B39"/>
    <mergeCell ref="C38:C39"/>
    <mergeCell ref="D38:D39"/>
    <mergeCell ref="C30:C31"/>
    <mergeCell ref="D6:D7"/>
    <mergeCell ref="D10:D11"/>
    <mergeCell ref="D12:D13"/>
    <mergeCell ref="D14:D15"/>
    <mergeCell ref="D16:D17"/>
    <mergeCell ref="D18:D19"/>
    <mergeCell ref="C8:C9"/>
    <mergeCell ref="D8:D9"/>
    <mergeCell ref="C10:C11"/>
    <mergeCell ref="C12:C13"/>
    <mergeCell ref="C14:C15"/>
    <mergeCell ref="AR24:AR25"/>
    <mergeCell ref="AR26:AR27"/>
    <mergeCell ref="AK13:AL13"/>
    <mergeCell ref="AK14:AL14"/>
    <mergeCell ref="AK15:AL15"/>
    <mergeCell ref="AQ6:AQ7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27:AL27"/>
    <mergeCell ref="AQ8:AQ9"/>
    <mergeCell ref="AM10:AM11"/>
    <mergeCell ref="AM12:AM13"/>
    <mergeCell ref="AM14:AM15"/>
    <mergeCell ref="AM16:AM17"/>
    <mergeCell ref="AM18:AM19"/>
    <mergeCell ref="AM30:AM31"/>
    <mergeCell ref="AR36:AR37"/>
    <mergeCell ref="AR38:AR39"/>
    <mergeCell ref="AR46:AR47"/>
    <mergeCell ref="AR28:AR29"/>
    <mergeCell ref="AR30:AR31"/>
    <mergeCell ref="AR32:AR33"/>
    <mergeCell ref="AR34:AR35"/>
    <mergeCell ref="AK30:AL30"/>
    <mergeCell ref="AK31:AL31"/>
    <mergeCell ref="AK32:AL32"/>
    <mergeCell ref="AK33:AL33"/>
    <mergeCell ref="AK46:AL46"/>
    <mergeCell ref="AK35:AL35"/>
    <mergeCell ref="AK36:AL36"/>
    <mergeCell ref="AK37:AL37"/>
    <mergeCell ref="AK38:AL38"/>
    <mergeCell ref="AK39:AL39"/>
    <mergeCell ref="AM36:AM37"/>
    <mergeCell ref="AM38:AM39"/>
    <mergeCell ref="AM46:AM47"/>
    <mergeCell ref="AQ32:AQ33"/>
    <mergeCell ref="AQ34:AQ35"/>
    <mergeCell ref="AQ38:AQ39"/>
    <mergeCell ref="AN12:AN13"/>
    <mergeCell ref="AN14:AN15"/>
    <mergeCell ref="AN16:AN17"/>
    <mergeCell ref="AN18:AN19"/>
    <mergeCell ref="AM20:AM21"/>
    <mergeCell ref="AM22:AM23"/>
    <mergeCell ref="AM24:AM25"/>
    <mergeCell ref="AM26:AM27"/>
    <mergeCell ref="AM28:AM29"/>
    <mergeCell ref="AQ28:AQ29"/>
    <mergeCell ref="AQ30:AQ31"/>
    <mergeCell ref="AQ10:AQ11"/>
    <mergeCell ref="AQ12:AQ13"/>
    <mergeCell ref="AQ14:AQ15"/>
    <mergeCell ref="AQ16:AQ17"/>
    <mergeCell ref="AQ18:AQ19"/>
    <mergeCell ref="AP46:AP47"/>
    <mergeCell ref="AQ36:AQ37"/>
    <mergeCell ref="AP10:AP11"/>
    <mergeCell ref="AP12:AP13"/>
    <mergeCell ref="AP14:AP15"/>
    <mergeCell ref="AP16:AP17"/>
    <mergeCell ref="AP18:AP19"/>
    <mergeCell ref="AQ20:AQ21"/>
    <mergeCell ref="AQ22:AQ23"/>
    <mergeCell ref="AQ24:AQ25"/>
    <mergeCell ref="AQ26:AQ27"/>
    <mergeCell ref="E4:AJ4"/>
    <mergeCell ref="AP20:AP21"/>
    <mergeCell ref="AP22:AP23"/>
    <mergeCell ref="AP24:AP25"/>
    <mergeCell ref="AP26:AP27"/>
    <mergeCell ref="AP28:AP29"/>
    <mergeCell ref="AP30:AP31"/>
    <mergeCell ref="AO32:AO33"/>
    <mergeCell ref="AO34:AO35"/>
    <mergeCell ref="AN32:AN33"/>
    <mergeCell ref="AN34:AN35"/>
    <mergeCell ref="AN6:AN7"/>
    <mergeCell ref="AO6:AO7"/>
    <mergeCell ref="AP6:AP7"/>
    <mergeCell ref="AM8:AM9"/>
    <mergeCell ref="AN8:AN9"/>
    <mergeCell ref="AO8:AO9"/>
    <mergeCell ref="AP8:AP9"/>
    <mergeCell ref="AK34:AL34"/>
    <mergeCell ref="AK28:AL28"/>
    <mergeCell ref="AK29:AL29"/>
    <mergeCell ref="AM32:AM33"/>
    <mergeCell ref="AM34:AM35"/>
    <mergeCell ref="AN10:AN11"/>
    <mergeCell ref="AO36:AO37"/>
    <mergeCell ref="AO38:AO39"/>
    <mergeCell ref="AO46:AO47"/>
    <mergeCell ref="AO20:AO21"/>
    <mergeCell ref="AO22:AO23"/>
    <mergeCell ref="AO24:AO25"/>
    <mergeCell ref="AO26:AO27"/>
    <mergeCell ref="AO28:AO29"/>
    <mergeCell ref="AO30:AO31"/>
    <mergeCell ref="AN36:AN37"/>
    <mergeCell ref="AN38:AN39"/>
    <mergeCell ref="AN46:AN47"/>
    <mergeCell ref="B26:B27"/>
    <mergeCell ref="A1:A3"/>
    <mergeCell ref="A6:A7"/>
    <mergeCell ref="A8:A9"/>
    <mergeCell ref="A16:A17"/>
    <mergeCell ref="AP32:AP33"/>
    <mergeCell ref="AP34:AP35"/>
    <mergeCell ref="AP36:AP37"/>
    <mergeCell ref="AP38:AP39"/>
    <mergeCell ref="AO10:AO11"/>
    <mergeCell ref="AO12:AO13"/>
    <mergeCell ref="AO14:AO15"/>
    <mergeCell ref="AO16:AO17"/>
    <mergeCell ref="AO18:AO19"/>
    <mergeCell ref="AN20:AN21"/>
    <mergeCell ref="AN22:AN23"/>
    <mergeCell ref="AN24:AN25"/>
    <mergeCell ref="AN26:AN27"/>
    <mergeCell ref="AN28:AN29"/>
    <mergeCell ref="AN30:AN31"/>
    <mergeCell ref="AM6:AM7"/>
    <mergeCell ref="AR4:AR5"/>
    <mergeCell ref="A34:A35"/>
    <mergeCell ref="A46:A47"/>
    <mergeCell ref="A4:A5"/>
    <mergeCell ref="B4:B5"/>
    <mergeCell ref="C4:C5"/>
    <mergeCell ref="D4:D5"/>
    <mergeCell ref="A36:A37"/>
    <mergeCell ref="A38:A39"/>
    <mergeCell ref="A10:A11"/>
    <mergeCell ref="A12:A13"/>
    <mergeCell ref="A14:A15"/>
    <mergeCell ref="A20:A21"/>
    <mergeCell ref="A22:A23"/>
    <mergeCell ref="A24:A25"/>
    <mergeCell ref="A30:A31"/>
    <mergeCell ref="A18:A19"/>
    <mergeCell ref="A26:A27"/>
    <mergeCell ref="A28:A29"/>
    <mergeCell ref="A32:A33"/>
    <mergeCell ref="B46:B47"/>
    <mergeCell ref="B28:B29"/>
    <mergeCell ref="B30:B31"/>
    <mergeCell ref="B24:B25"/>
  </mergeCells>
  <pageMargins left="0.24" right="0.16" top="0.3" bottom="0.2" header="0.16" footer="0.2"/>
  <pageSetup paperSize="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P54"/>
  <sheetViews>
    <sheetView workbookViewId="0">
      <selection activeCell="J8" sqref="J8"/>
    </sheetView>
  </sheetViews>
  <sheetFormatPr defaultRowHeight="12.75" x14ac:dyDescent="0.2"/>
  <cols>
    <col min="1" max="1" width="6.140625" customWidth="1"/>
    <col min="2" max="2" width="23.5703125" customWidth="1"/>
    <col min="3" max="3" width="12.140625" style="36" customWidth="1"/>
    <col min="4" max="4" width="8.5703125" style="65" customWidth="1"/>
    <col min="5" max="5" width="9.42578125" customWidth="1"/>
    <col min="6" max="6" width="9.28515625" style="60" customWidth="1"/>
    <col min="7" max="7" width="11.85546875" style="60" customWidth="1"/>
    <col min="8" max="8" width="9.28515625" style="228" customWidth="1"/>
    <col min="9" max="9" width="16.5703125" style="55" customWidth="1"/>
    <col min="10" max="10" width="21.42578125" customWidth="1"/>
    <col min="11" max="11" width="11.5703125" style="14" customWidth="1"/>
  </cols>
  <sheetData>
    <row r="1" spans="1:16" ht="24.75" customHeight="1" x14ac:dyDescent="0.2">
      <c r="A1" s="514" t="s">
        <v>7</v>
      </c>
      <c r="B1" s="515"/>
      <c r="C1" s="515"/>
      <c r="D1" s="515"/>
      <c r="E1" s="515"/>
      <c r="F1" s="515"/>
      <c r="G1" s="515"/>
      <c r="H1" s="515"/>
      <c r="I1" s="515"/>
      <c r="J1" s="516"/>
    </row>
    <row r="2" spans="1:16" ht="20.25" x14ac:dyDescent="0.3">
      <c r="A2" s="29"/>
      <c r="B2" s="21" t="s">
        <v>11</v>
      </c>
      <c r="C2" s="39"/>
      <c r="D2" s="61"/>
      <c r="E2" s="19"/>
      <c r="F2" s="56"/>
      <c r="G2" s="56"/>
      <c r="H2" s="220"/>
      <c r="I2" s="50"/>
      <c r="J2" s="30"/>
    </row>
    <row r="3" spans="1:16" ht="20.25" customHeight="1" thickBot="1" x14ac:dyDescent="0.25">
      <c r="A3" s="446" t="s">
        <v>204</v>
      </c>
      <c r="B3" s="447"/>
      <c r="C3" s="447"/>
      <c r="D3" s="447"/>
      <c r="E3" s="447"/>
      <c r="F3" s="447"/>
      <c r="G3" s="447"/>
      <c r="H3" s="447"/>
      <c r="I3" s="447"/>
      <c r="J3" s="448"/>
    </row>
    <row r="4" spans="1:16" ht="13.5" thickBot="1" x14ac:dyDescent="0.25">
      <c r="A4" s="31"/>
      <c r="B4" s="32"/>
      <c r="C4" s="40"/>
      <c r="D4" s="62"/>
      <c r="E4" s="34"/>
      <c r="F4" s="57"/>
      <c r="G4" s="57"/>
      <c r="H4" s="221"/>
      <c r="I4" s="51"/>
      <c r="J4" s="35"/>
      <c r="K4" s="511" t="s">
        <v>30</v>
      </c>
      <c r="L4" s="512"/>
      <c r="M4" s="512"/>
      <c r="N4" s="512"/>
      <c r="O4" s="513"/>
    </row>
    <row r="5" spans="1:16" ht="17.25" customHeight="1" thickBot="1" x14ac:dyDescent="0.25">
      <c r="A5" s="23" t="s">
        <v>3</v>
      </c>
      <c r="B5" s="67" t="s">
        <v>0</v>
      </c>
      <c r="C5" s="115" t="s">
        <v>6</v>
      </c>
      <c r="D5" s="52" t="s">
        <v>1</v>
      </c>
      <c r="E5" s="24" t="s">
        <v>12</v>
      </c>
      <c r="F5" s="58" t="s">
        <v>2</v>
      </c>
      <c r="G5" s="58" t="s">
        <v>14</v>
      </c>
      <c r="H5" s="222" t="s">
        <v>4</v>
      </c>
      <c r="I5" s="52" t="s">
        <v>15</v>
      </c>
      <c r="J5" s="25" t="s">
        <v>5</v>
      </c>
      <c r="K5" s="193" t="s">
        <v>66</v>
      </c>
      <c r="O5" s="219" t="s">
        <v>10</v>
      </c>
    </row>
    <row r="6" spans="1:16" ht="26.25" customHeight="1" x14ac:dyDescent="0.2">
      <c r="A6" s="92">
        <v>1</v>
      </c>
      <c r="B6" s="77" t="s">
        <v>33</v>
      </c>
      <c r="C6" s="373" t="s">
        <v>128</v>
      </c>
      <c r="D6" s="86">
        <v>20000</v>
      </c>
      <c r="E6" s="76">
        <v>30</v>
      </c>
      <c r="F6" s="107">
        <v>20000</v>
      </c>
      <c r="G6" s="107"/>
      <c r="H6" s="223">
        <v>15000</v>
      </c>
      <c r="I6" s="71">
        <f>F6-H6</f>
        <v>5000</v>
      </c>
      <c r="J6" s="108" t="s">
        <v>206</v>
      </c>
      <c r="K6" s="76"/>
      <c r="L6" s="1"/>
      <c r="M6" s="1"/>
      <c r="N6" s="1"/>
      <c r="O6" s="1">
        <f>K6+L6+M6+N6</f>
        <v>0</v>
      </c>
    </row>
    <row r="7" spans="1:16" ht="26.25" customHeight="1" x14ac:dyDescent="0.2">
      <c r="A7" s="76">
        <v>2</v>
      </c>
      <c r="B7" s="79" t="s">
        <v>54</v>
      </c>
      <c r="C7" s="77" t="s">
        <v>64</v>
      </c>
      <c r="D7" s="86">
        <v>9000</v>
      </c>
      <c r="E7" s="76">
        <v>30</v>
      </c>
      <c r="F7" s="107">
        <v>9000</v>
      </c>
      <c r="G7" s="107"/>
      <c r="H7" s="223">
        <v>5000</v>
      </c>
      <c r="I7" s="71">
        <v>4000</v>
      </c>
      <c r="J7" s="108" t="s">
        <v>205</v>
      </c>
      <c r="K7" s="76"/>
      <c r="L7" s="1"/>
      <c r="M7" s="1"/>
      <c r="N7" s="1"/>
      <c r="O7" s="1">
        <f t="shared" ref="O7:O12" si="0">K7+L7+M7+N7</f>
        <v>0</v>
      </c>
    </row>
    <row r="8" spans="1:16" ht="26.1" customHeight="1" x14ac:dyDescent="0.2">
      <c r="A8" s="92">
        <v>3</v>
      </c>
      <c r="B8" s="75" t="s">
        <v>55</v>
      </c>
      <c r="C8" s="75" t="s">
        <v>129</v>
      </c>
      <c r="D8" s="86">
        <v>25000</v>
      </c>
      <c r="E8" s="76">
        <v>0</v>
      </c>
      <c r="F8" s="107"/>
      <c r="G8" s="107"/>
      <c r="H8" s="223"/>
      <c r="I8" s="71">
        <v>0</v>
      </c>
      <c r="J8" s="76"/>
      <c r="K8" s="76"/>
      <c r="L8" s="1"/>
      <c r="M8" s="1"/>
      <c r="N8" s="1"/>
      <c r="O8" s="1">
        <f t="shared" si="0"/>
        <v>0</v>
      </c>
    </row>
    <row r="9" spans="1:16" ht="26.1" customHeight="1" x14ac:dyDescent="0.2">
      <c r="A9" s="76">
        <v>4</v>
      </c>
      <c r="B9" s="75"/>
      <c r="C9" s="75"/>
      <c r="D9" s="86"/>
      <c r="E9" s="76"/>
      <c r="F9" s="107"/>
      <c r="G9" s="107"/>
      <c r="H9" s="223"/>
      <c r="I9" s="71"/>
      <c r="J9" s="76"/>
      <c r="K9" s="76"/>
      <c r="L9" s="1"/>
      <c r="M9" s="1"/>
      <c r="N9" s="1"/>
      <c r="O9" s="1">
        <f t="shared" si="0"/>
        <v>0</v>
      </c>
    </row>
    <row r="10" spans="1:16" ht="26.1" customHeight="1" x14ac:dyDescent="0.2">
      <c r="A10" s="92">
        <v>5</v>
      </c>
      <c r="B10" s="75"/>
      <c r="C10" s="75"/>
      <c r="D10" s="86"/>
      <c r="E10" s="76"/>
      <c r="F10" s="107"/>
      <c r="G10" s="107"/>
      <c r="H10" s="223"/>
      <c r="I10" s="71"/>
      <c r="J10" s="76"/>
      <c r="K10" s="76"/>
      <c r="L10" s="1"/>
      <c r="M10" s="1"/>
      <c r="N10" s="1"/>
      <c r="O10" s="1">
        <f t="shared" si="0"/>
        <v>0</v>
      </c>
      <c r="P10" t="s">
        <v>93</v>
      </c>
    </row>
    <row r="11" spans="1:16" ht="26.1" customHeight="1" x14ac:dyDescent="0.2">
      <c r="A11" s="76">
        <v>6</v>
      </c>
      <c r="B11" s="75"/>
      <c r="C11" s="75"/>
      <c r="D11" s="86"/>
      <c r="E11" s="76"/>
      <c r="F11" s="107"/>
      <c r="G11" s="107"/>
      <c r="H11" s="223"/>
      <c r="I11" s="71"/>
      <c r="J11" s="76"/>
      <c r="K11" s="76"/>
      <c r="L11" s="1"/>
      <c r="M11" s="1"/>
      <c r="N11" s="1"/>
      <c r="O11" s="1">
        <f t="shared" si="0"/>
        <v>0</v>
      </c>
    </row>
    <row r="12" spans="1:16" ht="26.1" customHeight="1" x14ac:dyDescent="0.2">
      <c r="A12" s="92">
        <v>7</v>
      </c>
      <c r="B12" s="75"/>
      <c r="C12" s="75"/>
      <c r="D12" s="86"/>
      <c r="E12" s="76"/>
      <c r="F12" s="107"/>
      <c r="G12" s="107"/>
      <c r="H12" s="223"/>
      <c r="I12" s="71">
        <v>0</v>
      </c>
      <c r="J12" s="76"/>
      <c r="K12" s="76"/>
      <c r="L12" s="1"/>
      <c r="M12" s="1"/>
      <c r="N12" s="1"/>
      <c r="O12" s="1">
        <f t="shared" si="0"/>
        <v>0</v>
      </c>
    </row>
    <row r="13" spans="1:16" ht="26.1" customHeight="1" x14ac:dyDescent="0.2">
      <c r="A13" s="76">
        <v>8</v>
      </c>
      <c r="B13" s="109" t="s">
        <v>53</v>
      </c>
      <c r="C13" s="75"/>
      <c r="D13" s="86"/>
      <c r="E13" s="76"/>
      <c r="F13" s="107"/>
      <c r="G13" s="107"/>
      <c r="H13" s="223"/>
      <c r="I13" s="71"/>
      <c r="J13" s="89"/>
    </row>
    <row r="14" spans="1:16" ht="26.1" customHeight="1" x14ac:dyDescent="0.2">
      <c r="A14" s="76">
        <v>9</v>
      </c>
      <c r="B14" s="75"/>
      <c r="C14" s="75"/>
      <c r="D14" s="114"/>
      <c r="E14" s="90"/>
      <c r="F14" s="107"/>
      <c r="G14" s="107"/>
      <c r="H14" s="224"/>
      <c r="I14" s="71"/>
      <c r="J14" s="90"/>
    </row>
    <row r="15" spans="1:16" ht="26.1" customHeight="1" x14ac:dyDescent="0.2">
      <c r="A15" s="76">
        <v>10</v>
      </c>
      <c r="B15" s="75"/>
      <c r="C15" s="75"/>
      <c r="D15" s="86"/>
      <c r="E15" s="76"/>
      <c r="F15" s="107"/>
      <c r="G15" s="107"/>
      <c r="H15" s="223"/>
      <c r="I15" s="71"/>
      <c r="J15" s="76"/>
    </row>
    <row r="16" spans="1:16" ht="26.1" customHeight="1" x14ac:dyDescent="0.2">
      <c r="A16" s="2"/>
      <c r="B16" s="1"/>
      <c r="C16" s="10"/>
      <c r="D16" s="63"/>
      <c r="E16" s="2"/>
      <c r="F16" s="46"/>
      <c r="G16" s="45"/>
      <c r="H16" s="225"/>
      <c r="I16" s="74"/>
      <c r="J16" s="2"/>
    </row>
    <row r="17" spans="1:15" ht="26.1" customHeight="1" x14ac:dyDescent="0.2">
      <c r="A17" s="2"/>
      <c r="B17" s="1"/>
      <c r="C17" s="10"/>
      <c r="D17" s="63"/>
      <c r="E17" s="2"/>
      <c r="F17" s="46"/>
      <c r="G17" s="45"/>
      <c r="H17" s="225"/>
      <c r="I17" s="74"/>
      <c r="J17" s="1"/>
    </row>
    <row r="18" spans="1:15" ht="26.1" customHeight="1" x14ac:dyDescent="0.2">
      <c r="A18" s="2"/>
      <c r="B18" s="10"/>
      <c r="C18" s="10"/>
      <c r="D18" s="44"/>
      <c r="E18" s="2"/>
      <c r="F18" s="46"/>
      <c r="G18" s="45"/>
      <c r="H18" s="225"/>
      <c r="I18" s="74"/>
      <c r="J18" s="2"/>
    </row>
    <row r="19" spans="1:15" ht="26.1" customHeight="1" x14ac:dyDescent="0.2">
      <c r="A19" s="2"/>
      <c r="B19" s="10"/>
      <c r="C19" s="10"/>
      <c r="D19" s="44"/>
      <c r="E19" s="2"/>
      <c r="F19" s="46"/>
      <c r="G19" s="45"/>
      <c r="H19" s="225"/>
      <c r="I19" s="74"/>
      <c r="J19" s="2"/>
      <c r="N19" s="72"/>
    </row>
    <row r="20" spans="1:15" ht="26.1" customHeight="1" x14ac:dyDescent="0.2">
      <c r="A20" s="2"/>
      <c r="B20" s="10"/>
      <c r="C20" s="15"/>
      <c r="D20" s="66"/>
      <c r="E20" s="2"/>
      <c r="F20" s="45"/>
      <c r="G20" s="45"/>
      <c r="H20" s="226"/>
      <c r="I20" s="71"/>
      <c r="J20" s="2"/>
    </row>
    <row r="21" spans="1:15" ht="26.1" customHeight="1" x14ac:dyDescent="0.2">
      <c r="A21" s="2"/>
      <c r="B21" s="2"/>
      <c r="C21" s="10"/>
      <c r="D21" s="44"/>
      <c r="E21" s="2"/>
      <c r="F21" s="45"/>
      <c r="G21" s="45"/>
      <c r="H21" s="226"/>
      <c r="I21" s="71"/>
      <c r="J21" s="2"/>
    </row>
    <row r="22" spans="1:15" ht="26.1" customHeight="1" x14ac:dyDescent="0.25">
      <c r="A22" s="12"/>
      <c r="B22" s="73" t="s">
        <v>10</v>
      </c>
      <c r="C22" s="11"/>
      <c r="D22" s="64"/>
      <c r="E22" s="12"/>
      <c r="F22" s="59"/>
      <c r="G22" s="59"/>
      <c r="H22" s="227"/>
      <c r="I22" s="53">
        <f>SUM(I6:I21)</f>
        <v>9000</v>
      </c>
      <c r="J22" s="12"/>
    </row>
    <row r="23" spans="1:15" ht="26.1" customHeight="1" thickBot="1" x14ac:dyDescent="0.25">
      <c r="A23" s="2"/>
      <c r="B23" s="2"/>
      <c r="C23" s="10"/>
      <c r="D23" s="44"/>
      <c r="E23" s="2"/>
      <c r="F23" s="45"/>
      <c r="G23" s="45"/>
      <c r="H23" s="226"/>
      <c r="I23" s="54"/>
      <c r="J23" s="2"/>
    </row>
    <row r="24" spans="1:15" ht="17.25" customHeight="1" thickBot="1" x14ac:dyDescent="0.25">
      <c r="A24" s="23" t="s">
        <v>3</v>
      </c>
      <c r="B24" s="67" t="s">
        <v>0</v>
      </c>
      <c r="C24" s="115" t="s">
        <v>6</v>
      </c>
      <c r="D24" s="52" t="s">
        <v>1</v>
      </c>
      <c r="E24" s="24" t="s">
        <v>12</v>
      </c>
      <c r="F24" s="58" t="s">
        <v>2</v>
      </c>
      <c r="G24" s="58" t="s">
        <v>14</v>
      </c>
      <c r="H24" s="222" t="s">
        <v>4</v>
      </c>
      <c r="I24" s="52" t="s">
        <v>15</v>
      </c>
      <c r="J24" s="25" t="s">
        <v>5</v>
      </c>
      <c r="K24" s="193"/>
      <c r="O24" s="219" t="s">
        <v>10</v>
      </c>
    </row>
    <row r="25" spans="1:15" ht="26.25" customHeight="1" x14ac:dyDescent="0.2">
      <c r="A25" s="92">
        <v>1</v>
      </c>
      <c r="B25" s="77" t="s">
        <v>56</v>
      </c>
      <c r="C25" s="77" t="s">
        <v>35</v>
      </c>
      <c r="D25" s="86">
        <v>600</v>
      </c>
      <c r="E25" s="76">
        <v>30</v>
      </c>
      <c r="F25" s="107">
        <f>E25*D25</f>
        <v>18000</v>
      </c>
      <c r="G25" s="107">
        <f>F25</f>
        <v>18000</v>
      </c>
      <c r="H25" s="223">
        <v>0</v>
      </c>
      <c r="I25" s="71">
        <f>G25-H25</f>
        <v>18000</v>
      </c>
      <c r="J25" s="108"/>
      <c r="K25" s="2"/>
      <c r="L25" s="1"/>
      <c r="M25" s="1"/>
      <c r="N25" s="1"/>
      <c r="O25" s="1">
        <f>K25+L25+M25+N25</f>
        <v>0</v>
      </c>
    </row>
    <row r="26" spans="1:15" ht="26.25" customHeight="1" x14ac:dyDescent="0.2">
      <c r="A26" s="76">
        <v>2</v>
      </c>
      <c r="B26" s="79" t="s">
        <v>54</v>
      </c>
      <c r="C26" s="77" t="s">
        <v>36</v>
      </c>
      <c r="D26" s="86">
        <v>350</v>
      </c>
      <c r="E26" s="76">
        <v>30</v>
      </c>
      <c r="F26" s="107">
        <f>D26*E26</f>
        <v>10500</v>
      </c>
      <c r="G26" s="107">
        <f>F26</f>
        <v>10500</v>
      </c>
      <c r="H26" s="223">
        <f>O26</f>
        <v>0</v>
      </c>
      <c r="I26" s="71">
        <f t="shared" ref="I26:I33" si="1">G26-H26</f>
        <v>10500</v>
      </c>
      <c r="J26" s="108"/>
      <c r="K26" s="2"/>
      <c r="L26" s="1"/>
      <c r="M26" s="1"/>
      <c r="N26" s="1"/>
      <c r="O26" s="1">
        <f t="shared" ref="O26:O31" si="2">K26+L26+M26+N26</f>
        <v>0</v>
      </c>
    </row>
    <row r="27" spans="1:15" ht="26.1" customHeight="1" x14ac:dyDescent="0.2">
      <c r="A27" s="92">
        <v>3</v>
      </c>
      <c r="B27" s="75" t="s">
        <v>55</v>
      </c>
      <c r="C27" s="77" t="s">
        <v>177</v>
      </c>
      <c r="D27" s="86">
        <v>900</v>
      </c>
      <c r="E27" s="76">
        <v>30</v>
      </c>
      <c r="F27" s="107">
        <f>D27*E27</f>
        <v>27000</v>
      </c>
      <c r="G27" s="107">
        <f>F27</f>
        <v>27000</v>
      </c>
      <c r="H27" s="223">
        <f>O27</f>
        <v>0</v>
      </c>
      <c r="I27" s="71">
        <f t="shared" si="1"/>
        <v>27000</v>
      </c>
      <c r="J27" s="76"/>
      <c r="K27" s="2"/>
      <c r="L27" s="1"/>
      <c r="M27" s="1"/>
      <c r="N27" s="1"/>
      <c r="O27" s="1">
        <f t="shared" si="2"/>
        <v>0</v>
      </c>
    </row>
    <row r="28" spans="1:15" ht="26.1" customHeight="1" x14ac:dyDescent="0.2">
      <c r="A28" s="76">
        <v>4</v>
      </c>
      <c r="B28" s="75" t="s">
        <v>176</v>
      </c>
      <c r="C28" s="75" t="s">
        <v>178</v>
      </c>
      <c r="D28" s="86">
        <v>400</v>
      </c>
      <c r="E28" s="76">
        <v>30</v>
      </c>
      <c r="F28" s="107">
        <f>D28*E28</f>
        <v>12000</v>
      </c>
      <c r="G28" s="107">
        <f>F28</f>
        <v>12000</v>
      </c>
      <c r="H28" s="223">
        <f>O28</f>
        <v>0</v>
      </c>
      <c r="I28" s="71">
        <f t="shared" si="1"/>
        <v>12000</v>
      </c>
      <c r="J28" s="76"/>
      <c r="K28" s="2"/>
      <c r="L28" s="1"/>
      <c r="M28" s="1"/>
      <c r="N28" s="1"/>
      <c r="O28" s="1">
        <f t="shared" si="2"/>
        <v>0</v>
      </c>
    </row>
    <row r="29" spans="1:15" ht="26.1" customHeight="1" x14ac:dyDescent="0.2">
      <c r="A29" s="92">
        <v>5</v>
      </c>
      <c r="B29" s="75"/>
      <c r="C29" s="75"/>
      <c r="D29" s="86"/>
      <c r="E29" s="76"/>
      <c r="F29" s="107"/>
      <c r="G29" s="107"/>
      <c r="H29" s="223"/>
      <c r="I29" s="71">
        <f t="shared" si="1"/>
        <v>0</v>
      </c>
      <c r="J29" s="76"/>
      <c r="K29" s="2"/>
      <c r="L29" s="1"/>
      <c r="M29" s="1"/>
      <c r="N29" s="1"/>
      <c r="O29" s="1">
        <f t="shared" si="2"/>
        <v>0</v>
      </c>
    </row>
    <row r="30" spans="1:15" ht="26.1" customHeight="1" x14ac:dyDescent="0.2">
      <c r="A30" s="76">
        <v>6</v>
      </c>
      <c r="B30" s="75"/>
      <c r="C30" s="75"/>
      <c r="D30" s="86"/>
      <c r="E30" s="76"/>
      <c r="F30" s="107"/>
      <c r="G30" s="107">
        <f>D30</f>
        <v>0</v>
      </c>
      <c r="H30" s="223"/>
      <c r="I30" s="71">
        <f t="shared" si="1"/>
        <v>0</v>
      </c>
      <c r="J30" s="76"/>
      <c r="K30" s="194"/>
      <c r="L30" s="1"/>
      <c r="M30" s="1"/>
      <c r="N30" s="1"/>
      <c r="O30" s="1">
        <f t="shared" si="2"/>
        <v>0</v>
      </c>
    </row>
    <row r="31" spans="1:15" ht="26.1" customHeight="1" x14ac:dyDescent="0.2">
      <c r="A31" s="92">
        <v>7</v>
      </c>
      <c r="B31" s="75"/>
      <c r="C31" s="75"/>
      <c r="D31" s="86"/>
      <c r="E31" s="76"/>
      <c r="F31" s="107"/>
      <c r="G31" s="107">
        <f>D31</f>
        <v>0</v>
      </c>
      <c r="H31" s="223"/>
      <c r="I31" s="71">
        <f t="shared" si="1"/>
        <v>0</v>
      </c>
      <c r="J31" s="76"/>
      <c r="K31" s="2"/>
      <c r="L31" s="1"/>
      <c r="M31" s="1"/>
      <c r="N31" s="1"/>
      <c r="O31" s="1">
        <f t="shared" si="2"/>
        <v>0</v>
      </c>
    </row>
    <row r="32" spans="1:15" ht="26.1" customHeight="1" x14ac:dyDescent="0.2">
      <c r="A32" s="76">
        <v>8</v>
      </c>
      <c r="B32" s="109" t="s">
        <v>53</v>
      </c>
      <c r="C32" s="75"/>
      <c r="D32" s="86"/>
      <c r="E32" s="76"/>
      <c r="F32" s="107"/>
      <c r="G32" s="107">
        <f>D32</f>
        <v>0</v>
      </c>
      <c r="H32" s="223"/>
      <c r="I32" s="71">
        <f t="shared" si="1"/>
        <v>0</v>
      </c>
      <c r="J32" s="89"/>
    </row>
    <row r="33" spans="1:10" ht="26.1" customHeight="1" x14ac:dyDescent="0.2">
      <c r="A33" s="76">
        <v>9</v>
      </c>
      <c r="B33" s="75"/>
      <c r="C33" s="75"/>
      <c r="D33" s="114"/>
      <c r="E33" s="90"/>
      <c r="F33" s="107"/>
      <c r="G33" s="107"/>
      <c r="H33" s="224"/>
      <c r="I33" s="71">
        <f t="shared" si="1"/>
        <v>0</v>
      </c>
      <c r="J33" s="90"/>
    </row>
    <row r="34" spans="1:10" ht="26.1" customHeight="1" x14ac:dyDescent="0.2">
      <c r="A34" s="76">
        <v>10</v>
      </c>
      <c r="B34" s="75"/>
      <c r="C34" s="75"/>
      <c r="D34" s="86"/>
      <c r="E34" s="76"/>
      <c r="F34" s="107"/>
      <c r="G34" s="107"/>
      <c r="H34" s="223"/>
      <c r="I34" s="71"/>
      <c r="J34" s="76"/>
    </row>
    <row r="35" spans="1:10" ht="26.1" customHeight="1" x14ac:dyDescent="0.2">
      <c r="A35" s="1"/>
      <c r="B35" s="1"/>
      <c r="C35" s="10"/>
      <c r="D35" s="63"/>
      <c r="E35" s="1"/>
      <c r="F35" s="46"/>
      <c r="G35" s="46"/>
      <c r="H35" s="225"/>
      <c r="I35" s="44"/>
      <c r="J35" s="1"/>
    </row>
    <row r="36" spans="1:10" ht="26.1" customHeight="1" x14ac:dyDescent="0.2">
      <c r="A36" s="1"/>
      <c r="B36" s="1"/>
      <c r="C36" s="10"/>
      <c r="D36" s="63"/>
      <c r="E36" s="1"/>
      <c r="F36" s="46"/>
      <c r="G36" s="46"/>
      <c r="H36" s="225"/>
      <c r="I36" s="44"/>
      <c r="J36" s="1"/>
    </row>
    <row r="37" spans="1:10" ht="26.1" customHeight="1" x14ac:dyDescent="0.2">
      <c r="A37" s="1"/>
      <c r="B37" s="1"/>
      <c r="C37" s="10"/>
      <c r="D37" s="63"/>
      <c r="E37" s="1"/>
      <c r="F37" s="46"/>
      <c r="G37" s="46"/>
      <c r="H37" s="225"/>
      <c r="I37" s="44"/>
      <c r="J37" s="1"/>
    </row>
    <row r="38" spans="1:10" ht="26.1" customHeight="1" x14ac:dyDescent="0.2">
      <c r="A38" s="1"/>
      <c r="B38" s="1"/>
      <c r="C38" s="10"/>
      <c r="D38" s="63"/>
      <c r="E38" s="1"/>
      <c r="F38" s="46"/>
      <c r="G38" s="46"/>
      <c r="H38" s="225"/>
      <c r="I38" s="44"/>
      <c r="J38" s="1"/>
    </row>
    <row r="39" spans="1:10" x14ac:dyDescent="0.2">
      <c r="A39" s="1"/>
      <c r="B39" s="1"/>
      <c r="C39" s="10"/>
      <c r="D39" s="63"/>
      <c r="E39" s="1"/>
      <c r="F39" s="46"/>
      <c r="G39" s="46"/>
      <c r="H39" s="225"/>
      <c r="I39" s="44"/>
      <c r="J39" s="1"/>
    </row>
    <row r="40" spans="1:10" x14ac:dyDescent="0.2">
      <c r="A40" s="1"/>
      <c r="B40" s="1"/>
      <c r="C40" s="10"/>
      <c r="D40" s="63"/>
      <c r="E40" s="1"/>
      <c r="F40" s="46"/>
      <c r="G40" s="46"/>
      <c r="H40" s="225"/>
      <c r="I40" s="44"/>
      <c r="J40" s="1"/>
    </row>
    <row r="41" spans="1:10" x14ac:dyDescent="0.2">
      <c r="A41" s="1"/>
      <c r="B41" s="1"/>
      <c r="C41" s="10"/>
      <c r="D41" s="63"/>
      <c r="E41" s="1"/>
      <c r="F41" s="46"/>
      <c r="G41" s="46"/>
      <c r="H41" s="225"/>
      <c r="I41" s="44"/>
      <c r="J41" s="1"/>
    </row>
    <row r="42" spans="1:10" x14ac:dyDescent="0.2">
      <c r="A42" s="1"/>
      <c r="B42" s="1"/>
      <c r="C42" s="10"/>
      <c r="D42" s="63"/>
      <c r="E42" s="1"/>
      <c r="F42" s="46"/>
      <c r="G42" s="46"/>
      <c r="H42" s="225"/>
      <c r="I42" s="44"/>
      <c r="J42" s="1"/>
    </row>
    <row r="43" spans="1:10" x14ac:dyDescent="0.2">
      <c r="A43" s="1"/>
      <c r="B43" s="1"/>
      <c r="C43" s="10"/>
      <c r="D43" s="63"/>
      <c r="E43" s="1"/>
      <c r="F43" s="46"/>
      <c r="G43" s="46"/>
      <c r="H43" s="225"/>
      <c r="I43" s="44"/>
      <c r="J43" s="1"/>
    </row>
    <row r="44" spans="1:10" x14ac:dyDescent="0.2">
      <c r="A44" s="1"/>
      <c r="B44" s="1"/>
      <c r="C44" s="10"/>
      <c r="D44" s="63"/>
      <c r="E44" s="1"/>
      <c r="F44" s="46"/>
      <c r="G44" s="46"/>
      <c r="H44" s="225"/>
      <c r="I44" s="44"/>
      <c r="J44" s="1"/>
    </row>
    <row r="45" spans="1:10" x14ac:dyDescent="0.2">
      <c r="A45" s="1"/>
      <c r="B45" s="1"/>
      <c r="C45" s="10"/>
      <c r="D45" s="63"/>
      <c r="E45" s="1"/>
      <c r="F45" s="46"/>
      <c r="G45" s="46"/>
      <c r="H45" s="225"/>
      <c r="I45" s="44"/>
      <c r="J45" s="1"/>
    </row>
    <row r="46" spans="1:10" x14ac:dyDescent="0.2">
      <c r="A46" s="1"/>
      <c r="B46" s="1"/>
      <c r="C46" s="10"/>
      <c r="D46" s="63"/>
      <c r="E46" s="1"/>
      <c r="F46" s="46"/>
      <c r="G46" s="46"/>
      <c r="H46" s="225"/>
      <c r="I46" s="44"/>
      <c r="J46" s="1"/>
    </row>
    <row r="47" spans="1:10" x14ac:dyDescent="0.2">
      <c r="A47" s="1"/>
      <c r="B47" s="1"/>
      <c r="C47" s="10"/>
      <c r="D47" s="63"/>
      <c r="E47" s="1"/>
      <c r="F47" s="46"/>
      <c r="G47" s="46"/>
      <c r="H47" s="225"/>
      <c r="I47" s="44"/>
      <c r="J47" s="1"/>
    </row>
    <row r="48" spans="1:10" x14ac:dyDescent="0.2">
      <c r="A48" s="1"/>
      <c r="B48" s="1"/>
      <c r="C48" s="10"/>
      <c r="D48" s="63"/>
      <c r="E48" s="1"/>
      <c r="F48" s="46"/>
      <c r="G48" s="46"/>
      <c r="H48" s="225"/>
      <c r="I48" s="44"/>
      <c r="J48" s="1"/>
    </row>
    <row r="49" spans="1:10" x14ac:dyDescent="0.2">
      <c r="A49" s="1"/>
      <c r="B49" s="1"/>
      <c r="C49" s="10"/>
      <c r="D49" s="63"/>
      <c r="E49" s="1"/>
      <c r="F49" s="46"/>
      <c r="G49" s="46"/>
      <c r="H49" s="225"/>
      <c r="I49" s="44"/>
      <c r="J49" s="1"/>
    </row>
    <row r="50" spans="1:10" x14ac:dyDescent="0.2">
      <c r="A50" s="1"/>
      <c r="B50" s="1"/>
      <c r="C50" s="10"/>
      <c r="D50" s="63"/>
      <c r="E50" s="1"/>
      <c r="F50" s="46"/>
      <c r="G50" s="46"/>
      <c r="H50" s="225"/>
      <c r="I50" s="44"/>
      <c r="J50" s="1"/>
    </row>
    <row r="51" spans="1:10" x14ac:dyDescent="0.2">
      <c r="A51" s="1"/>
      <c r="B51" s="1"/>
      <c r="C51" s="10"/>
      <c r="D51" s="63"/>
      <c r="E51" s="1"/>
      <c r="F51" s="46"/>
      <c r="G51" s="46"/>
      <c r="H51" s="225"/>
      <c r="I51" s="44"/>
      <c r="J51" s="1"/>
    </row>
    <row r="52" spans="1:10" x14ac:dyDescent="0.2">
      <c r="A52" s="1"/>
      <c r="B52" s="1"/>
      <c r="C52" s="10"/>
      <c r="D52" s="63"/>
      <c r="E52" s="1"/>
      <c r="F52" s="46"/>
      <c r="G52" s="46"/>
      <c r="H52" s="225"/>
      <c r="I52" s="44"/>
      <c r="J52" s="1"/>
    </row>
    <row r="53" spans="1:10" x14ac:dyDescent="0.2">
      <c r="A53" s="1"/>
      <c r="B53" s="1"/>
      <c r="C53" s="10"/>
      <c r="D53" s="63"/>
      <c r="E53" s="1"/>
      <c r="F53" s="46"/>
      <c r="G53" s="46"/>
      <c r="H53" s="225"/>
      <c r="I53" s="44"/>
      <c r="J53" s="1"/>
    </row>
    <row r="54" spans="1:10" x14ac:dyDescent="0.2">
      <c r="A54" s="1"/>
      <c r="B54" s="1"/>
      <c r="C54" s="10"/>
      <c r="D54" s="63"/>
      <c r="E54" s="1"/>
      <c r="F54" s="46"/>
      <c r="G54" s="46"/>
      <c r="H54" s="225"/>
      <c r="I54" s="44"/>
      <c r="J54" s="1"/>
    </row>
  </sheetData>
  <mergeCells count="3">
    <mergeCell ref="K4:O4"/>
    <mergeCell ref="A1:J1"/>
    <mergeCell ref="A3:J3"/>
  </mergeCells>
  <phoneticPr fontId="1" type="noConversion"/>
  <pageMargins left="0.23" right="0.23" top="0.28000000000000003" bottom="0.28000000000000003" header="0.26" footer="0.25"/>
  <pageSetup orientation="landscape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25"/>
  <sheetViews>
    <sheetView view="pageBreakPreview" zoomScaleNormal="100" zoomScaleSheetLayoutView="100" workbookViewId="0">
      <selection activeCell="N10" sqref="N10"/>
    </sheetView>
  </sheetViews>
  <sheetFormatPr defaultColWidth="9.140625" defaultRowHeight="12.75" x14ac:dyDescent="0.2"/>
  <cols>
    <col min="1" max="1" width="5.140625" style="1" customWidth="1"/>
    <col min="2" max="2" width="23.28515625" style="1" customWidth="1"/>
    <col min="3" max="3" width="6.140625" style="2" customWidth="1"/>
    <col min="4" max="4" width="6.140625" style="270" customWidth="1"/>
    <col min="5" max="5" width="8.42578125" style="2" customWidth="1"/>
    <col min="6" max="6" width="9.140625" style="2"/>
    <col min="7" max="7" width="7.28515625" style="2" customWidth="1"/>
    <col min="8" max="8" width="8.42578125" style="44" customWidth="1"/>
    <col min="9" max="9" width="8.7109375" style="44" customWidth="1"/>
    <col min="10" max="10" width="8" style="2" customWidth="1"/>
    <col min="11" max="11" width="16.85546875" style="44" bestFit="1" customWidth="1"/>
    <col min="12" max="12" width="26.85546875" style="1" customWidth="1"/>
    <col min="13" max="15" width="9.140625" style="1"/>
    <col min="16" max="17" width="11.140625" style="1" bestFit="1" customWidth="1"/>
    <col min="18" max="19" width="11.140625" style="1" customWidth="1"/>
    <col min="20" max="20" width="11.5703125" style="1" bestFit="1" customWidth="1"/>
    <col min="21" max="21" width="13.85546875" style="1" bestFit="1" customWidth="1"/>
    <col min="22" max="22" width="9.140625" style="1"/>
    <col min="23" max="23" width="19" style="1" bestFit="1" customWidth="1"/>
    <col min="24" max="16384" width="9.140625" style="1"/>
  </cols>
  <sheetData>
    <row r="1" spans="1:23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9"/>
      <c r="M1" s="257"/>
    </row>
    <row r="2" spans="1:23" ht="20.25" x14ac:dyDescent="0.2">
      <c r="A2" s="248"/>
      <c r="B2" s="312" t="s">
        <v>11</v>
      </c>
      <c r="C2" s="249"/>
      <c r="D2" s="251"/>
      <c r="E2" s="249"/>
      <c r="F2" s="250"/>
      <c r="G2" s="249"/>
      <c r="H2" s="251"/>
      <c r="I2" s="251"/>
      <c r="J2" s="251"/>
      <c r="K2" s="55"/>
      <c r="L2" s="339"/>
      <c r="M2" s="410"/>
    </row>
    <row r="3" spans="1:23" ht="13.5" thickBot="1" x14ac:dyDescent="0.25">
      <c r="A3" s="440" t="s">
        <v>214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410"/>
      <c r="N3" s="3"/>
      <c r="O3" s="3"/>
      <c r="P3" s="3"/>
      <c r="Q3" s="3"/>
      <c r="R3" s="3"/>
      <c r="S3" s="3"/>
      <c r="T3" s="3"/>
      <c r="U3" s="3"/>
    </row>
    <row r="4" spans="1:23" ht="13.5" thickBot="1" x14ac:dyDescent="0.25">
      <c r="A4" s="252"/>
      <c r="B4" s="253"/>
      <c r="C4" s="253"/>
      <c r="D4" s="256"/>
      <c r="E4" s="255"/>
      <c r="F4" s="254"/>
      <c r="G4" s="253"/>
      <c r="H4" s="256"/>
      <c r="I4" s="256"/>
      <c r="J4" s="256"/>
      <c r="K4" s="256"/>
      <c r="L4" s="372" t="s">
        <v>213</v>
      </c>
      <c r="M4" s="443"/>
      <c r="N4" s="444"/>
      <c r="O4" s="444"/>
      <c r="P4" s="444"/>
      <c r="Q4" s="444"/>
      <c r="R4" s="444"/>
      <c r="S4" s="444"/>
      <c r="T4" s="444"/>
      <c r="U4" s="445"/>
      <c r="V4" s="264"/>
    </row>
    <row r="5" spans="1:23" x14ac:dyDescent="0.2">
      <c r="A5" s="266" t="s">
        <v>3</v>
      </c>
      <c r="B5" s="260" t="s">
        <v>51</v>
      </c>
      <c r="C5" s="260" t="s">
        <v>6</v>
      </c>
      <c r="D5" s="262" t="s">
        <v>1</v>
      </c>
      <c r="E5" s="260" t="s">
        <v>12</v>
      </c>
      <c r="F5" s="261" t="s">
        <v>2</v>
      </c>
      <c r="G5" s="260" t="s">
        <v>13</v>
      </c>
      <c r="H5" s="262" t="s">
        <v>2</v>
      </c>
      <c r="I5" s="262" t="s">
        <v>16</v>
      </c>
      <c r="J5" s="262" t="s">
        <v>4</v>
      </c>
      <c r="K5" s="262" t="s">
        <v>15</v>
      </c>
      <c r="L5" s="267" t="s">
        <v>5</v>
      </c>
      <c r="M5" s="423" t="s">
        <v>37</v>
      </c>
      <c r="N5" s="424" t="s">
        <v>38</v>
      </c>
      <c r="O5" s="422" t="s">
        <v>197</v>
      </c>
      <c r="P5" s="419" t="s">
        <v>194</v>
      </c>
      <c r="Q5" s="517" t="s">
        <v>30</v>
      </c>
      <c r="R5" s="518"/>
      <c r="S5" s="519"/>
      <c r="T5" s="420" t="s">
        <v>196</v>
      </c>
      <c r="U5" s="420" t="s">
        <v>75</v>
      </c>
    </row>
    <row r="6" spans="1:23" ht="43.15" customHeight="1" x14ac:dyDescent="0.2">
      <c r="A6" s="268">
        <v>1</v>
      </c>
      <c r="B6" s="301" t="s">
        <v>156</v>
      </c>
      <c r="C6" s="76" t="s">
        <v>52</v>
      </c>
      <c r="D6" s="270">
        <v>700</v>
      </c>
      <c r="E6" s="2">
        <v>30</v>
      </c>
      <c r="F6" s="2">
        <f>700*E6</f>
        <v>21000</v>
      </c>
      <c r="G6" s="2">
        <v>37</v>
      </c>
      <c r="H6" s="44">
        <f>G6/8*700</f>
        <v>3237.5</v>
      </c>
      <c r="I6" s="44">
        <f t="shared" ref="I6:I14" si="0">F6+H6</f>
        <v>24237.5</v>
      </c>
      <c r="J6" s="2">
        <f>4000+2000</f>
        <v>6000</v>
      </c>
      <c r="K6" s="378">
        <f>I6-J6</f>
        <v>18237.5</v>
      </c>
      <c r="L6" s="409"/>
      <c r="M6" s="421">
        <v>23930</v>
      </c>
      <c r="N6" s="384"/>
      <c r="O6" s="381"/>
      <c r="P6" s="381">
        <f>K6+M6</f>
        <v>42167.5</v>
      </c>
      <c r="Q6" s="381"/>
      <c r="R6" s="381"/>
      <c r="S6" s="381"/>
      <c r="T6" s="381">
        <f>Q6+R6+S6</f>
        <v>0</v>
      </c>
      <c r="U6" s="402">
        <f>P6-T6</f>
        <v>42167.5</v>
      </c>
      <c r="W6" s="414"/>
    </row>
    <row r="7" spans="1:23" ht="43.15" customHeight="1" x14ac:dyDescent="0.2">
      <c r="A7" s="413">
        <v>2</v>
      </c>
      <c r="C7" s="411"/>
      <c r="E7" s="412"/>
      <c r="F7" s="412"/>
      <c r="H7" s="270"/>
      <c r="I7" s="270"/>
      <c r="K7" s="376"/>
      <c r="L7" s="409"/>
      <c r="M7" s="421">
        <v>3000</v>
      </c>
      <c r="N7" s="402"/>
      <c r="O7" s="384"/>
      <c r="P7" s="384">
        <f>K7+M7</f>
        <v>3000</v>
      </c>
      <c r="Q7" s="384"/>
      <c r="R7" s="384"/>
      <c r="S7" s="384"/>
      <c r="T7" s="381">
        <f>Q7+R7+S7</f>
        <v>0</v>
      </c>
      <c r="U7" s="402">
        <f>P7-T7</f>
        <v>3000</v>
      </c>
      <c r="W7" s="377"/>
    </row>
    <row r="8" spans="1:23" ht="43.15" customHeight="1" x14ac:dyDescent="0.2">
      <c r="A8" s="413">
        <v>3</v>
      </c>
      <c r="B8" s="301"/>
      <c r="C8" s="415"/>
      <c r="E8" s="412"/>
      <c r="F8" s="412"/>
      <c r="G8" s="412"/>
      <c r="H8" s="270"/>
      <c r="I8" s="270"/>
      <c r="K8" s="376"/>
      <c r="L8" s="409"/>
      <c r="M8" s="374"/>
      <c r="N8" s="87"/>
      <c r="Q8" s="89"/>
      <c r="R8" s="89"/>
      <c r="S8" s="89"/>
      <c r="U8" s="402"/>
    </row>
    <row r="9" spans="1:23" ht="43.15" customHeight="1" x14ac:dyDescent="0.2">
      <c r="A9" s="413">
        <v>4</v>
      </c>
      <c r="B9" s="301"/>
      <c r="C9" s="415"/>
      <c r="E9" s="412"/>
      <c r="F9" s="412"/>
      <c r="G9" s="412"/>
      <c r="H9" s="270"/>
      <c r="I9" s="270"/>
      <c r="K9" s="376"/>
      <c r="L9" s="409"/>
      <c r="M9" s="374"/>
      <c r="N9" s="87"/>
      <c r="Q9" s="89"/>
      <c r="R9" s="89"/>
      <c r="S9" s="89"/>
    </row>
    <row r="10" spans="1:23" ht="43.15" customHeight="1" x14ac:dyDescent="0.2">
      <c r="A10" s="413">
        <v>5</v>
      </c>
      <c r="B10" s="301"/>
      <c r="C10" s="415"/>
      <c r="E10" s="412"/>
      <c r="F10" s="412"/>
      <c r="G10" s="412"/>
      <c r="H10" s="270"/>
      <c r="I10" s="270"/>
      <c r="J10" s="412"/>
      <c r="K10" s="376"/>
      <c r="L10" s="409"/>
      <c r="M10" s="374"/>
      <c r="N10" s="89"/>
      <c r="P10" s="63"/>
      <c r="Q10" s="89"/>
      <c r="R10" s="89"/>
      <c r="S10" s="89"/>
    </row>
    <row r="11" spans="1:23" ht="43.15" customHeight="1" x14ac:dyDescent="0.2">
      <c r="A11" s="268">
        <v>6</v>
      </c>
      <c r="B11" s="89"/>
      <c r="C11" s="415"/>
      <c r="I11" s="370"/>
      <c r="K11" s="387"/>
      <c r="L11" s="409"/>
      <c r="M11" s="374"/>
      <c r="N11" s="89"/>
      <c r="Q11" s="89"/>
      <c r="R11" s="89"/>
      <c r="S11" s="89"/>
    </row>
    <row r="12" spans="1:23" ht="43.15" customHeight="1" x14ac:dyDescent="0.2">
      <c r="A12" s="268">
        <v>7</v>
      </c>
      <c r="B12" s="89"/>
      <c r="C12" s="415"/>
      <c r="F12" s="2">
        <f t="shared" ref="F12:F14" si="1">D12*E12</f>
        <v>0</v>
      </c>
      <c r="H12" s="44">
        <f t="shared" ref="H12:H14" si="2">G12/8*D12</f>
        <v>0</v>
      </c>
      <c r="I12" s="370">
        <f t="shared" si="0"/>
        <v>0</v>
      </c>
      <c r="K12" s="387">
        <f t="shared" ref="K12:K14" si="3">I12-J12</f>
        <v>0</v>
      </c>
      <c r="L12" s="409"/>
      <c r="M12" s="374"/>
      <c r="N12" s="89"/>
      <c r="Q12" s="89"/>
      <c r="R12" s="89"/>
      <c r="S12" s="89"/>
    </row>
    <row r="13" spans="1:23" ht="43.15" customHeight="1" x14ac:dyDescent="0.2">
      <c r="A13" s="268">
        <v>8</v>
      </c>
      <c r="B13" s="89"/>
      <c r="C13" s="415"/>
      <c r="F13" s="2">
        <f t="shared" si="1"/>
        <v>0</v>
      </c>
      <c r="H13" s="44">
        <f t="shared" si="2"/>
        <v>0</v>
      </c>
      <c r="I13" s="44">
        <f t="shared" si="0"/>
        <v>0</v>
      </c>
      <c r="K13" s="387">
        <f t="shared" si="3"/>
        <v>0</v>
      </c>
      <c r="L13" s="409"/>
      <c r="M13" s="374"/>
      <c r="N13" s="89"/>
      <c r="Q13" s="89"/>
      <c r="R13" s="89"/>
      <c r="S13" s="89"/>
    </row>
    <row r="14" spans="1:23" ht="43.15" customHeight="1" x14ac:dyDescent="0.2">
      <c r="A14" s="268">
        <v>9</v>
      </c>
      <c r="B14" s="89"/>
      <c r="C14" s="415"/>
      <c r="F14" s="2">
        <f t="shared" si="1"/>
        <v>0</v>
      </c>
      <c r="H14" s="44">
        <f t="shared" si="2"/>
        <v>0</v>
      </c>
      <c r="I14" s="44">
        <f t="shared" si="0"/>
        <v>0</v>
      </c>
      <c r="K14" s="387">
        <f t="shared" si="3"/>
        <v>0</v>
      </c>
      <c r="L14" s="409"/>
      <c r="M14" s="374"/>
      <c r="N14" s="89"/>
      <c r="Q14" s="89"/>
      <c r="R14" s="89"/>
      <c r="S14" s="89"/>
    </row>
    <row r="15" spans="1:23" ht="43.15" customHeight="1" x14ac:dyDescent="0.2">
      <c r="A15" s="268">
        <v>10</v>
      </c>
      <c r="B15" s="89"/>
      <c r="C15" s="90"/>
      <c r="K15" s="378"/>
      <c r="L15" s="382"/>
      <c r="M15" s="374"/>
      <c r="N15" s="89"/>
      <c r="Q15" s="89"/>
      <c r="R15" s="89"/>
      <c r="S15" s="89"/>
    </row>
    <row r="16" spans="1:23" ht="43.15" customHeight="1" thickBot="1" x14ac:dyDescent="0.25">
      <c r="A16" s="385">
        <v>11</v>
      </c>
      <c r="B16" s="200"/>
      <c r="C16" s="90"/>
      <c r="D16" s="386"/>
      <c r="F16" s="405"/>
      <c r="G16" s="405"/>
      <c r="H16" s="370"/>
      <c r="I16" s="370"/>
      <c r="J16" s="405"/>
      <c r="K16" s="387"/>
      <c r="L16" s="407"/>
      <c r="M16" s="374"/>
      <c r="N16" s="89"/>
      <c r="Q16" s="89"/>
      <c r="R16" s="89"/>
      <c r="S16" s="89"/>
    </row>
    <row r="17" spans="1:16" ht="30" customHeight="1" thickBot="1" x14ac:dyDescent="0.25">
      <c r="A17" s="265"/>
      <c r="B17" s="388" t="s">
        <v>10</v>
      </c>
      <c r="C17" s="389"/>
      <c r="D17" s="390"/>
      <c r="E17" s="389"/>
      <c r="F17" s="389"/>
      <c r="G17" s="389"/>
      <c r="H17" s="391"/>
      <c r="I17" s="392">
        <f>SUM(I6:I16)</f>
        <v>24237.5</v>
      </c>
      <c r="J17" s="408">
        <f>SUM(J6:J16)</f>
        <v>6000</v>
      </c>
      <c r="K17" s="393">
        <f>K6+K7+K8+K9+K10+K11+K12+K13+K14+K16+K15</f>
        <v>18237.5</v>
      </c>
      <c r="L17" s="404"/>
      <c r="M17" s="264"/>
      <c r="O17" s="63" t="e">
        <f>#REF!+#REF!+#REF!+#REF!+O6</f>
        <v>#REF!</v>
      </c>
      <c r="P17" s="63"/>
    </row>
    <row r="18" spans="1:16" x14ac:dyDescent="0.2">
      <c r="A18" s="4"/>
      <c r="B18" s="4"/>
      <c r="C18" s="18"/>
      <c r="D18" s="271"/>
      <c r="E18" s="18"/>
      <c r="F18" s="18"/>
      <c r="G18" s="18"/>
      <c r="H18" s="272"/>
      <c r="I18" s="272"/>
      <c r="J18" s="18"/>
      <c r="K18" s="272"/>
      <c r="L18" s="4"/>
    </row>
    <row r="19" spans="1:16" x14ac:dyDescent="0.2">
      <c r="L19" s="63">
        <f>K17-55000</f>
        <v>-36762.5</v>
      </c>
    </row>
    <row r="24" spans="1:16" ht="30" customHeight="1" x14ac:dyDescent="0.2"/>
    <row r="25" spans="1:16" ht="30" customHeight="1" x14ac:dyDescent="0.2"/>
  </sheetData>
  <mergeCells count="4">
    <mergeCell ref="A1:L1"/>
    <mergeCell ref="A3:L3"/>
    <mergeCell ref="M4:U4"/>
    <mergeCell ref="Q5:S5"/>
  </mergeCells>
  <pageMargins left="0.25" right="0.12" top="0.23622047244094491" bottom="0.25" header="0.19685039370078741" footer="0.32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35"/>
  <sheetViews>
    <sheetView tabSelected="1" zoomScaleNormal="100" workbookViewId="0">
      <selection activeCell="L6" sqref="L6"/>
    </sheetView>
  </sheetViews>
  <sheetFormatPr defaultColWidth="9.140625" defaultRowHeight="12.75" x14ac:dyDescent="0.2"/>
  <cols>
    <col min="1" max="1" width="5.42578125" style="434" customWidth="1"/>
    <col min="2" max="2" width="23.85546875" style="1" customWidth="1"/>
    <col min="3" max="3" width="5.5703125" style="2" customWidth="1"/>
    <col min="4" max="4" width="5.5703125" style="270" customWidth="1"/>
    <col min="5" max="5" width="8.7109375" style="2" customWidth="1"/>
    <col min="6" max="6" width="8.5703125" style="2" customWidth="1"/>
    <col min="7" max="7" width="7.7109375" style="2" customWidth="1"/>
    <col min="8" max="8" width="8.42578125" style="44" customWidth="1"/>
    <col min="9" max="9" width="8.7109375" style="44" customWidth="1"/>
    <col min="10" max="10" width="8.85546875" style="2" bestFit="1" customWidth="1"/>
    <col min="11" max="11" width="16.140625" style="44" customWidth="1"/>
    <col min="12" max="12" width="26.85546875" style="1" customWidth="1"/>
    <col min="13" max="19" width="9.140625" style="1"/>
    <col min="20" max="20" width="19" style="1" bestFit="1" customWidth="1"/>
    <col min="21" max="16384" width="9.140625" style="1"/>
  </cols>
  <sheetData>
    <row r="1" spans="1:21" ht="25.5" x14ac:dyDescent="0.2">
      <c r="A1" s="437" t="s">
        <v>7</v>
      </c>
      <c r="B1" s="438"/>
      <c r="C1" s="438"/>
      <c r="D1" s="438"/>
      <c r="E1" s="438"/>
      <c r="F1" s="438"/>
      <c r="G1" s="438"/>
      <c r="H1" s="438"/>
      <c r="I1" s="438"/>
      <c r="J1" s="438"/>
      <c r="K1" s="438"/>
      <c r="L1" s="439"/>
      <c r="M1" s="257"/>
    </row>
    <row r="2" spans="1:21" ht="20.25" x14ac:dyDescent="0.2">
      <c r="A2" s="427"/>
      <c r="B2" s="312" t="s">
        <v>11</v>
      </c>
      <c r="C2" s="249"/>
      <c r="D2" s="251"/>
      <c r="E2" s="249"/>
      <c r="F2" s="250"/>
      <c r="G2" s="249"/>
      <c r="H2" s="251"/>
      <c r="I2" s="251"/>
      <c r="J2" s="251"/>
      <c r="K2" s="55"/>
      <c r="L2" s="339"/>
      <c r="M2" s="257"/>
    </row>
    <row r="3" spans="1:21" ht="13.5" thickBot="1" x14ac:dyDescent="0.25">
      <c r="A3" s="440" t="s">
        <v>212</v>
      </c>
      <c r="B3" s="441"/>
      <c r="C3" s="441"/>
      <c r="D3" s="441"/>
      <c r="E3" s="441"/>
      <c r="F3" s="441"/>
      <c r="G3" s="441"/>
      <c r="H3" s="441"/>
      <c r="I3" s="441"/>
      <c r="J3" s="441"/>
      <c r="K3" s="441"/>
      <c r="L3" s="442"/>
      <c r="M3" s="257"/>
      <c r="N3" s="3"/>
      <c r="O3" s="3"/>
      <c r="P3" s="3"/>
      <c r="Q3" s="3"/>
      <c r="R3" s="3"/>
    </row>
    <row r="4" spans="1:21" ht="13.5" thickBot="1" x14ac:dyDescent="0.25">
      <c r="A4" s="428"/>
      <c r="B4" s="253"/>
      <c r="C4" s="253"/>
      <c r="D4" s="256"/>
      <c r="E4" s="255"/>
      <c r="F4" s="254"/>
      <c r="G4" s="253"/>
      <c r="H4" s="256"/>
      <c r="I4" s="256"/>
      <c r="J4" s="256"/>
      <c r="K4" s="256"/>
      <c r="L4" s="372" t="s">
        <v>213</v>
      </c>
      <c r="M4" s="443" t="s">
        <v>30</v>
      </c>
      <c r="N4" s="444"/>
      <c r="O4" s="444"/>
      <c r="P4" s="444"/>
      <c r="Q4" s="444"/>
      <c r="R4" s="445"/>
      <c r="S4" s="264"/>
    </row>
    <row r="5" spans="1:21" x14ac:dyDescent="0.2">
      <c r="A5" s="429" t="s">
        <v>3</v>
      </c>
      <c r="B5" s="260" t="s">
        <v>51</v>
      </c>
      <c r="C5" s="260" t="s">
        <v>6</v>
      </c>
      <c r="D5" s="262" t="s">
        <v>1</v>
      </c>
      <c r="E5" s="260" t="s">
        <v>12</v>
      </c>
      <c r="F5" s="261" t="s">
        <v>2</v>
      </c>
      <c r="G5" s="260" t="s">
        <v>13</v>
      </c>
      <c r="H5" s="262" t="s">
        <v>2</v>
      </c>
      <c r="I5" s="262" t="s">
        <v>16</v>
      </c>
      <c r="J5" s="262" t="s">
        <v>4</v>
      </c>
      <c r="K5" s="262" t="s">
        <v>15</v>
      </c>
      <c r="L5" s="267" t="s">
        <v>5</v>
      </c>
      <c r="M5" s="399">
        <v>44627</v>
      </c>
      <c r="N5" s="400">
        <v>44841</v>
      </c>
      <c r="O5" s="4" t="s">
        <v>164</v>
      </c>
      <c r="P5" s="4"/>
      <c r="Q5" s="4"/>
      <c r="R5" s="401" t="s">
        <v>10</v>
      </c>
    </row>
    <row r="6" spans="1:21" ht="43.15" customHeight="1" x14ac:dyDescent="0.2">
      <c r="A6" s="430">
        <v>1</v>
      </c>
      <c r="B6" s="416" t="s">
        <v>180</v>
      </c>
      <c r="C6" s="76"/>
      <c r="D6" s="270">
        <v>750</v>
      </c>
      <c r="E6" s="2">
        <v>30</v>
      </c>
      <c r="F6" s="2">
        <f>E6*D6</f>
        <v>22500</v>
      </c>
      <c r="G6" s="2">
        <v>42</v>
      </c>
      <c r="H6" s="44">
        <f>G6/8*(D6)</f>
        <v>3937.5</v>
      </c>
      <c r="I6" s="370">
        <f>F6+H6</f>
        <v>26437.5</v>
      </c>
      <c r="J6" s="2">
        <v>4000</v>
      </c>
      <c r="K6" s="387">
        <f>I6-J6</f>
        <v>22437.5</v>
      </c>
      <c r="L6" s="409"/>
      <c r="M6" s="383"/>
      <c r="N6" s="384"/>
      <c r="O6" s="381"/>
      <c r="P6" s="380"/>
      <c r="Q6" s="381"/>
      <c r="R6" s="402">
        <f>M6+N6+O6+P6+Q6</f>
        <v>0</v>
      </c>
      <c r="S6" s="1">
        <v>215</v>
      </c>
      <c r="T6" s="377"/>
      <c r="U6" s="1" t="s">
        <v>138</v>
      </c>
    </row>
    <row r="7" spans="1:21" ht="43.15" customHeight="1" x14ac:dyDescent="0.2">
      <c r="A7" s="430">
        <v>2</v>
      </c>
      <c r="B7" s="416" t="s">
        <v>181</v>
      </c>
      <c r="C7" s="76"/>
      <c r="D7" s="270">
        <v>700</v>
      </c>
      <c r="E7" s="2">
        <v>30</v>
      </c>
      <c r="F7" s="2">
        <f t="shared" ref="F7:F8" si="0">D7*E7</f>
        <v>21000</v>
      </c>
      <c r="G7" s="2">
        <v>42</v>
      </c>
      <c r="H7" s="44">
        <f t="shared" ref="H7:H8" si="1">G7/8*(D7)</f>
        <v>3675</v>
      </c>
      <c r="I7" s="370">
        <f t="shared" ref="I7:I8" si="2">F7+H7</f>
        <v>24675</v>
      </c>
      <c r="J7" s="2">
        <v>4000</v>
      </c>
      <c r="K7" s="387">
        <f t="shared" ref="K7:K8" si="3">I7-J7</f>
        <v>20675</v>
      </c>
      <c r="L7" s="409"/>
      <c r="M7" s="383"/>
      <c r="N7" s="402"/>
      <c r="O7" s="379"/>
      <c r="P7" s="379"/>
      <c r="Q7" s="379"/>
      <c r="R7" s="402">
        <f t="shared" ref="R7:R9" si="4">M7+N7+O7+P7+Q7</f>
        <v>0</v>
      </c>
      <c r="S7" s="1">
        <v>7500</v>
      </c>
      <c r="T7" s="377"/>
    </row>
    <row r="8" spans="1:21" ht="43.15" customHeight="1" x14ac:dyDescent="0.2">
      <c r="A8" s="430">
        <v>3</v>
      </c>
      <c r="B8" s="416" t="s">
        <v>182</v>
      </c>
      <c r="C8" s="76"/>
      <c r="D8" s="270">
        <v>700</v>
      </c>
      <c r="E8" s="2">
        <v>30</v>
      </c>
      <c r="F8" s="2">
        <f t="shared" si="0"/>
        <v>21000</v>
      </c>
      <c r="G8" s="2">
        <v>38</v>
      </c>
      <c r="H8" s="44">
        <f t="shared" si="1"/>
        <v>3325</v>
      </c>
      <c r="I8" s="370">
        <f t="shared" si="2"/>
        <v>24325</v>
      </c>
      <c r="J8" s="2">
        <v>5000</v>
      </c>
      <c r="K8" s="387">
        <f t="shared" si="3"/>
        <v>19325</v>
      </c>
      <c r="L8" s="409"/>
      <c r="M8" s="383"/>
      <c r="N8" s="402"/>
      <c r="O8" s="379"/>
      <c r="P8" s="379"/>
      <c r="Q8" s="379"/>
      <c r="R8" s="402"/>
      <c r="T8" s="377"/>
    </row>
    <row r="9" spans="1:21" ht="43.15" customHeight="1" x14ac:dyDescent="0.2">
      <c r="A9" s="431">
        <v>4</v>
      </c>
      <c r="B9" s="416" t="s">
        <v>183</v>
      </c>
      <c r="C9" s="76"/>
      <c r="D9" s="270">
        <v>650</v>
      </c>
      <c r="E9" s="2">
        <v>3</v>
      </c>
      <c r="F9" s="2">
        <f t="shared" ref="F9:F26" si="5">D9*E9</f>
        <v>1950</v>
      </c>
      <c r="G9" s="2">
        <v>1</v>
      </c>
      <c r="H9" s="44">
        <f t="shared" ref="H9:H26" si="6">G9/8*(D9)</f>
        <v>81.25</v>
      </c>
      <c r="I9" s="370">
        <f t="shared" ref="I9:I26" si="7">F9+H9</f>
        <v>2031.25</v>
      </c>
      <c r="J9" s="2">
        <v>1000</v>
      </c>
      <c r="K9" s="387">
        <f t="shared" ref="K9:K14" si="8">I9-J9</f>
        <v>1031.25</v>
      </c>
      <c r="L9" s="409"/>
      <c r="M9" s="383"/>
      <c r="N9" s="89"/>
      <c r="P9" s="89"/>
      <c r="R9" s="402">
        <f t="shared" si="4"/>
        <v>0</v>
      </c>
      <c r="S9" s="1">
        <v>4000</v>
      </c>
    </row>
    <row r="10" spans="1:21" ht="43.15" customHeight="1" x14ac:dyDescent="0.2">
      <c r="A10" s="430">
        <v>5</v>
      </c>
      <c r="B10" s="416" t="s">
        <v>184</v>
      </c>
      <c r="C10" s="76"/>
      <c r="D10" s="270">
        <v>650</v>
      </c>
      <c r="E10" s="2">
        <v>3</v>
      </c>
      <c r="F10" s="2">
        <f t="shared" si="5"/>
        <v>1950</v>
      </c>
      <c r="G10" s="2">
        <v>1</v>
      </c>
      <c r="H10" s="44">
        <f t="shared" si="6"/>
        <v>81.25</v>
      </c>
      <c r="I10" s="370">
        <f t="shared" si="7"/>
        <v>2031.25</v>
      </c>
      <c r="J10" s="2">
        <v>1000</v>
      </c>
      <c r="K10" s="387">
        <f t="shared" si="8"/>
        <v>1031.25</v>
      </c>
      <c r="L10" s="409"/>
      <c r="M10" s="383"/>
      <c r="N10" s="89"/>
      <c r="P10" s="89"/>
    </row>
    <row r="11" spans="1:21" ht="43.15" customHeight="1" x14ac:dyDescent="0.2">
      <c r="A11" s="430">
        <v>6</v>
      </c>
      <c r="B11" s="416" t="s">
        <v>185</v>
      </c>
      <c r="C11" s="76"/>
      <c r="D11" s="270">
        <v>500</v>
      </c>
      <c r="E11" s="2">
        <v>30</v>
      </c>
      <c r="F11" s="2">
        <f t="shared" si="5"/>
        <v>15000</v>
      </c>
      <c r="G11" s="2">
        <v>44</v>
      </c>
      <c r="H11" s="44">
        <f t="shared" si="6"/>
        <v>2750</v>
      </c>
      <c r="I11" s="370">
        <f t="shared" si="7"/>
        <v>17750</v>
      </c>
      <c r="J11" s="2">
        <v>4000</v>
      </c>
      <c r="K11" s="387">
        <f t="shared" si="8"/>
        <v>13750</v>
      </c>
      <c r="L11" s="409"/>
      <c r="M11" s="383"/>
      <c r="N11" s="89"/>
      <c r="P11" s="89"/>
    </row>
    <row r="12" spans="1:21" ht="43.15" customHeight="1" x14ac:dyDescent="0.2">
      <c r="A12" s="430">
        <v>7</v>
      </c>
      <c r="B12" s="416" t="s">
        <v>207</v>
      </c>
      <c r="C12" s="76"/>
      <c r="D12" s="270">
        <v>650</v>
      </c>
      <c r="E12" s="2">
        <v>30</v>
      </c>
      <c r="F12" s="2">
        <f t="shared" si="5"/>
        <v>19500</v>
      </c>
      <c r="G12" s="2">
        <v>34</v>
      </c>
      <c r="H12" s="44">
        <f t="shared" si="6"/>
        <v>2762.5</v>
      </c>
      <c r="I12" s="370">
        <f t="shared" si="7"/>
        <v>22262.5</v>
      </c>
      <c r="J12" s="2">
        <v>4000</v>
      </c>
      <c r="K12" s="387">
        <f t="shared" si="8"/>
        <v>18262.5</v>
      </c>
      <c r="L12" s="409"/>
      <c r="M12" s="383"/>
      <c r="N12" s="89"/>
      <c r="P12" s="89"/>
    </row>
    <row r="13" spans="1:21" ht="43.15" customHeight="1" x14ac:dyDescent="0.2">
      <c r="A13" s="431">
        <v>8</v>
      </c>
      <c r="B13" s="416" t="s">
        <v>208</v>
      </c>
      <c r="C13" s="76"/>
      <c r="D13" s="270">
        <v>500</v>
      </c>
      <c r="E13" s="2">
        <v>30</v>
      </c>
      <c r="F13" s="2">
        <f t="shared" si="5"/>
        <v>15000</v>
      </c>
      <c r="G13" s="2">
        <v>34</v>
      </c>
      <c r="H13" s="44">
        <f t="shared" si="6"/>
        <v>2125</v>
      </c>
      <c r="I13" s="370">
        <f t="shared" si="7"/>
        <v>17125</v>
      </c>
      <c r="J13" s="2">
        <v>4000</v>
      </c>
      <c r="K13" s="387">
        <f t="shared" si="8"/>
        <v>13125</v>
      </c>
      <c r="L13" s="409"/>
      <c r="M13" s="383"/>
      <c r="N13" s="89"/>
      <c r="P13" s="89"/>
    </row>
    <row r="14" spans="1:21" ht="43.15" customHeight="1" x14ac:dyDescent="0.2">
      <c r="A14" s="430">
        <v>9</v>
      </c>
      <c r="B14" s="425" t="s">
        <v>211</v>
      </c>
      <c r="C14" s="411"/>
      <c r="D14" s="270">
        <v>500</v>
      </c>
      <c r="E14" s="412">
        <v>30</v>
      </c>
      <c r="F14" s="412">
        <f t="shared" si="5"/>
        <v>15000</v>
      </c>
      <c r="G14" s="412">
        <v>41</v>
      </c>
      <c r="H14" s="270">
        <f t="shared" si="6"/>
        <v>2562.5</v>
      </c>
      <c r="I14" s="386">
        <f t="shared" si="7"/>
        <v>17562.5</v>
      </c>
      <c r="J14" s="2">
        <v>4000</v>
      </c>
      <c r="K14" s="387">
        <f t="shared" si="8"/>
        <v>13562.5</v>
      </c>
      <c r="L14" s="409"/>
      <c r="M14" s="383"/>
      <c r="N14" s="89"/>
      <c r="P14" s="89"/>
    </row>
    <row r="15" spans="1:21" ht="43.15" customHeight="1" x14ac:dyDescent="0.2">
      <c r="A15" s="430">
        <v>10</v>
      </c>
      <c r="B15" s="416" t="s">
        <v>186</v>
      </c>
      <c r="C15" s="76"/>
      <c r="D15" s="270">
        <v>500</v>
      </c>
      <c r="E15" s="2">
        <v>28</v>
      </c>
      <c r="F15" s="2">
        <f t="shared" si="5"/>
        <v>14000</v>
      </c>
      <c r="G15" s="2">
        <v>44</v>
      </c>
      <c r="H15" s="44">
        <f t="shared" si="6"/>
        <v>2750</v>
      </c>
      <c r="I15" s="370">
        <f t="shared" si="7"/>
        <v>16750</v>
      </c>
      <c r="J15" s="2">
        <v>4000</v>
      </c>
      <c r="K15" s="387">
        <f>I15-J15</f>
        <v>12750</v>
      </c>
      <c r="L15" s="409"/>
      <c r="M15" s="383"/>
      <c r="N15" s="89"/>
      <c r="P15" s="89"/>
    </row>
    <row r="16" spans="1:21" ht="43.15" customHeight="1" x14ac:dyDescent="0.2">
      <c r="A16" s="436">
        <v>11</v>
      </c>
      <c r="B16" s="416" t="s">
        <v>187</v>
      </c>
      <c r="C16" s="76"/>
      <c r="D16" s="270">
        <v>500</v>
      </c>
      <c r="E16" s="2">
        <v>30</v>
      </c>
      <c r="F16" s="2">
        <f t="shared" si="5"/>
        <v>15000</v>
      </c>
      <c r="G16" s="2">
        <v>41</v>
      </c>
      <c r="H16" s="44">
        <f t="shared" si="6"/>
        <v>2562.5</v>
      </c>
      <c r="I16" s="44">
        <f t="shared" si="7"/>
        <v>17562.5</v>
      </c>
      <c r="J16" s="2">
        <v>4000</v>
      </c>
      <c r="K16" s="378">
        <f t="shared" ref="K16:K26" si="9">I16-J16</f>
        <v>13562.5</v>
      </c>
      <c r="L16" s="414"/>
      <c r="M16" s="383"/>
      <c r="N16" s="89"/>
      <c r="P16" s="89"/>
    </row>
    <row r="17" spans="1:19" ht="43.15" customHeight="1" x14ac:dyDescent="0.2">
      <c r="A17" s="430">
        <v>12</v>
      </c>
      <c r="B17" s="416" t="s">
        <v>198</v>
      </c>
      <c r="C17" s="76"/>
      <c r="D17" s="270">
        <v>500</v>
      </c>
      <c r="E17" s="2">
        <v>30</v>
      </c>
      <c r="F17" s="2">
        <f t="shared" si="5"/>
        <v>15000</v>
      </c>
      <c r="G17" s="2">
        <v>39</v>
      </c>
      <c r="H17" s="44">
        <f t="shared" si="6"/>
        <v>2437.5</v>
      </c>
      <c r="I17" s="370">
        <f t="shared" si="7"/>
        <v>17437.5</v>
      </c>
      <c r="J17" s="2">
        <v>4000</v>
      </c>
      <c r="K17" s="387">
        <f t="shared" si="9"/>
        <v>13437.5</v>
      </c>
      <c r="L17" s="409"/>
      <c r="M17" s="383"/>
      <c r="N17" s="89"/>
      <c r="P17" s="89"/>
    </row>
    <row r="18" spans="1:19" ht="43.15" customHeight="1" x14ac:dyDescent="0.2">
      <c r="A18" s="430">
        <v>13</v>
      </c>
      <c r="B18" s="416" t="s">
        <v>189</v>
      </c>
      <c r="C18" s="76"/>
      <c r="D18" s="270">
        <v>500</v>
      </c>
      <c r="E18" s="2">
        <v>3</v>
      </c>
      <c r="F18" s="2">
        <f t="shared" si="5"/>
        <v>1500</v>
      </c>
      <c r="G18" s="2">
        <v>6</v>
      </c>
      <c r="H18" s="44">
        <f t="shared" si="6"/>
        <v>375</v>
      </c>
      <c r="I18" s="370">
        <f t="shared" si="7"/>
        <v>1875</v>
      </c>
      <c r="J18" s="2">
        <v>1000</v>
      </c>
      <c r="K18" s="387">
        <f t="shared" si="9"/>
        <v>875</v>
      </c>
      <c r="L18" s="409"/>
      <c r="M18" s="383"/>
      <c r="N18" s="89"/>
      <c r="P18" s="89"/>
    </row>
    <row r="19" spans="1:19" ht="43.15" customHeight="1" x14ac:dyDescent="0.2">
      <c r="A19" s="430">
        <v>14</v>
      </c>
      <c r="B19" s="416" t="s">
        <v>188</v>
      </c>
      <c r="C19" s="76"/>
      <c r="D19" s="270">
        <v>500</v>
      </c>
      <c r="E19" s="2">
        <v>30</v>
      </c>
      <c r="F19" s="2">
        <f t="shared" si="5"/>
        <v>15000</v>
      </c>
      <c r="G19" s="2">
        <v>41</v>
      </c>
      <c r="H19" s="44">
        <f t="shared" si="6"/>
        <v>2562.5</v>
      </c>
      <c r="I19" s="370">
        <f t="shared" si="7"/>
        <v>17562.5</v>
      </c>
      <c r="J19" s="2">
        <v>4000</v>
      </c>
      <c r="K19" s="387">
        <f t="shared" si="9"/>
        <v>13562.5</v>
      </c>
      <c r="L19" s="409"/>
      <c r="M19" s="383"/>
      <c r="N19" s="89"/>
      <c r="P19" s="89"/>
      <c r="S19" s="1">
        <v>11</v>
      </c>
    </row>
    <row r="20" spans="1:19" ht="43.15" customHeight="1" x14ac:dyDescent="0.2">
      <c r="A20" s="430">
        <v>15</v>
      </c>
      <c r="B20" s="416" t="s">
        <v>202</v>
      </c>
      <c r="C20" s="76"/>
      <c r="D20" s="270">
        <v>650</v>
      </c>
      <c r="E20" s="2">
        <v>29</v>
      </c>
      <c r="F20" s="2">
        <f t="shared" si="5"/>
        <v>18850</v>
      </c>
      <c r="G20" s="2">
        <v>39</v>
      </c>
      <c r="H20" s="44">
        <f t="shared" si="6"/>
        <v>3168.75</v>
      </c>
      <c r="I20" s="370">
        <f t="shared" si="7"/>
        <v>22018.75</v>
      </c>
      <c r="J20" s="2">
        <v>4000</v>
      </c>
      <c r="K20" s="387">
        <f t="shared" si="9"/>
        <v>18018.75</v>
      </c>
      <c r="L20" s="409"/>
      <c r="M20" s="383"/>
      <c r="N20" s="89"/>
      <c r="P20" s="89"/>
    </row>
    <row r="21" spans="1:19" ht="43.15" customHeight="1" x14ac:dyDescent="0.2">
      <c r="A21" s="430">
        <v>16</v>
      </c>
      <c r="B21" s="426" t="s">
        <v>199</v>
      </c>
      <c r="C21" s="90"/>
      <c r="D21" s="386">
        <v>500</v>
      </c>
      <c r="E21" s="2">
        <v>29</v>
      </c>
      <c r="F21" s="2">
        <f t="shared" si="5"/>
        <v>14500</v>
      </c>
      <c r="G21" s="2">
        <v>38</v>
      </c>
      <c r="H21" s="44">
        <f t="shared" si="6"/>
        <v>2375</v>
      </c>
      <c r="I21" s="370">
        <f t="shared" si="7"/>
        <v>16875</v>
      </c>
      <c r="J21" s="2">
        <v>4000</v>
      </c>
      <c r="K21" s="387">
        <f t="shared" si="9"/>
        <v>12875</v>
      </c>
      <c r="L21" s="409"/>
      <c r="M21" s="383"/>
      <c r="N21" s="89"/>
      <c r="P21" s="89"/>
    </row>
    <row r="22" spans="1:19" ht="43.15" customHeight="1" x14ac:dyDescent="0.2">
      <c r="A22" s="430">
        <v>17</v>
      </c>
      <c r="B22" s="416" t="s">
        <v>203</v>
      </c>
      <c r="C22" s="76"/>
      <c r="D22" s="270">
        <v>500</v>
      </c>
      <c r="E22" s="2">
        <v>22</v>
      </c>
      <c r="F22" s="2">
        <f t="shared" si="5"/>
        <v>11000</v>
      </c>
      <c r="G22" s="2">
        <v>26</v>
      </c>
      <c r="H22" s="44">
        <f t="shared" si="6"/>
        <v>1625</v>
      </c>
      <c r="I22" s="370">
        <f t="shared" si="7"/>
        <v>12625</v>
      </c>
      <c r="J22" s="2">
        <v>4000</v>
      </c>
      <c r="K22" s="387">
        <f t="shared" si="9"/>
        <v>8625</v>
      </c>
      <c r="L22" s="409"/>
      <c r="M22" s="383"/>
      <c r="N22" s="89"/>
      <c r="P22" s="89"/>
    </row>
    <row r="23" spans="1:19" ht="43.15" customHeight="1" x14ac:dyDescent="0.2">
      <c r="A23" s="430">
        <v>18</v>
      </c>
      <c r="B23" s="416" t="s">
        <v>210</v>
      </c>
      <c r="C23" s="76"/>
      <c r="D23" s="270">
        <v>500</v>
      </c>
      <c r="E23" s="2">
        <v>30</v>
      </c>
      <c r="F23" s="2">
        <f t="shared" si="5"/>
        <v>15000</v>
      </c>
      <c r="G23" s="2">
        <v>34</v>
      </c>
      <c r="H23" s="44">
        <f t="shared" si="6"/>
        <v>2125</v>
      </c>
      <c r="I23" s="370">
        <f t="shared" si="7"/>
        <v>17125</v>
      </c>
      <c r="J23" s="2">
        <v>4000</v>
      </c>
      <c r="K23" s="387">
        <f t="shared" si="9"/>
        <v>13125</v>
      </c>
      <c r="L23" s="409"/>
      <c r="M23" s="383"/>
      <c r="N23" s="89"/>
      <c r="P23" s="89"/>
    </row>
    <row r="24" spans="1:19" ht="43.15" customHeight="1" x14ac:dyDescent="0.2">
      <c r="A24" s="430">
        <v>19</v>
      </c>
      <c r="B24" s="416" t="s">
        <v>200</v>
      </c>
      <c r="C24" s="76"/>
      <c r="D24" s="270">
        <v>500</v>
      </c>
      <c r="E24" s="2">
        <v>30</v>
      </c>
      <c r="F24" s="2">
        <f t="shared" si="5"/>
        <v>15000</v>
      </c>
      <c r="G24" s="2">
        <v>41</v>
      </c>
      <c r="H24" s="44">
        <f t="shared" si="6"/>
        <v>2562.5</v>
      </c>
      <c r="I24" s="370">
        <f t="shared" si="7"/>
        <v>17562.5</v>
      </c>
      <c r="J24" s="2">
        <v>4000</v>
      </c>
      <c r="K24" s="387">
        <f t="shared" si="9"/>
        <v>13562.5</v>
      </c>
      <c r="L24" s="409"/>
      <c r="M24" s="383"/>
      <c r="N24" s="89"/>
      <c r="P24" s="89"/>
    </row>
    <row r="25" spans="1:19" ht="43.15" customHeight="1" x14ac:dyDescent="0.2">
      <c r="A25" s="430">
        <v>20</v>
      </c>
      <c r="B25" s="416" t="s">
        <v>209</v>
      </c>
      <c r="C25" s="76"/>
      <c r="D25" s="270">
        <v>500</v>
      </c>
      <c r="E25" s="2">
        <v>30</v>
      </c>
      <c r="F25" s="2">
        <f t="shared" si="5"/>
        <v>15000</v>
      </c>
      <c r="G25" s="2">
        <v>34</v>
      </c>
      <c r="H25" s="44">
        <f t="shared" si="6"/>
        <v>2125</v>
      </c>
      <c r="I25" s="370">
        <f t="shared" si="7"/>
        <v>17125</v>
      </c>
      <c r="J25" s="2">
        <v>4000</v>
      </c>
      <c r="K25" s="387">
        <f t="shared" si="9"/>
        <v>13125</v>
      </c>
      <c r="L25" s="409"/>
      <c r="M25" s="383"/>
      <c r="N25" s="89"/>
      <c r="P25" s="89"/>
    </row>
    <row r="26" spans="1:19" ht="43.15" customHeight="1" thickBot="1" x14ac:dyDescent="0.25">
      <c r="A26" s="430">
        <v>21</v>
      </c>
      <c r="B26" s="416" t="s">
        <v>201</v>
      </c>
      <c r="C26" s="76"/>
      <c r="D26" s="270">
        <v>500</v>
      </c>
      <c r="E26" s="2">
        <v>31</v>
      </c>
      <c r="F26" s="2">
        <f t="shared" si="5"/>
        <v>15500</v>
      </c>
      <c r="G26" s="2">
        <v>62</v>
      </c>
      <c r="H26" s="44">
        <f t="shared" si="6"/>
        <v>3875</v>
      </c>
      <c r="I26" s="370">
        <f t="shared" si="7"/>
        <v>19375</v>
      </c>
      <c r="J26" s="2">
        <v>4000</v>
      </c>
      <c r="K26" s="387">
        <f t="shared" si="9"/>
        <v>15375</v>
      </c>
      <c r="L26" s="409"/>
      <c r="M26" s="383"/>
      <c r="N26" s="89"/>
      <c r="P26" s="89"/>
    </row>
    <row r="27" spans="1:19" ht="30" customHeight="1" thickBot="1" x14ac:dyDescent="0.25">
      <c r="A27" s="432"/>
      <c r="B27" s="388" t="s">
        <v>10</v>
      </c>
      <c r="C27" s="389"/>
      <c r="D27" s="390"/>
      <c r="E27" s="389"/>
      <c r="F27" s="389"/>
      <c r="G27" s="389"/>
      <c r="H27" s="391"/>
      <c r="I27" s="392">
        <f>SUM(I6:I26)</f>
        <v>348093.75</v>
      </c>
      <c r="J27" s="388">
        <f>SUM(J6:J26)</f>
        <v>76000</v>
      </c>
      <c r="K27" s="406">
        <f>K6+K7+K8+K9+K10+K11+K12+K13+K14+K15+K16+K17+K18+K19+K20+K21+K22+K23+K24+K25+K26</f>
        <v>272093.75</v>
      </c>
      <c r="L27" s="435"/>
      <c r="M27" s="264"/>
      <c r="O27" s="63"/>
    </row>
    <row r="28" spans="1:19" ht="13.5" thickBot="1" x14ac:dyDescent="0.25">
      <c r="A28" s="433"/>
      <c r="B28" s="4"/>
      <c r="C28" s="18"/>
      <c r="D28" s="271"/>
      <c r="E28" s="18"/>
      <c r="F28" s="18"/>
      <c r="G28" s="18"/>
      <c r="H28" s="272"/>
      <c r="I28" s="272"/>
      <c r="J28" s="18"/>
      <c r="K28" s="272"/>
      <c r="L28" s="404"/>
    </row>
    <row r="29" spans="1:19" x14ac:dyDescent="0.2">
      <c r="L29" s="4"/>
    </row>
    <row r="34" ht="30" customHeight="1" x14ac:dyDescent="0.2"/>
    <row r="35" ht="30" customHeight="1" x14ac:dyDescent="0.2"/>
  </sheetData>
  <mergeCells count="3">
    <mergeCell ref="A1:L1"/>
    <mergeCell ref="A3:L3"/>
    <mergeCell ref="M4:R4"/>
  </mergeCells>
  <pageMargins left="0.25" right="0.12" top="0.2" bottom="0.2" header="0.19685039370078741" footer="0.2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F11"/>
  <sheetViews>
    <sheetView workbookViewId="0">
      <selection activeCell="J13" sqref="J13"/>
    </sheetView>
  </sheetViews>
  <sheetFormatPr defaultRowHeight="12.75" x14ac:dyDescent="0.2"/>
  <cols>
    <col min="2" max="2" width="13.28515625" bestFit="1" customWidth="1"/>
    <col min="4" max="4" width="11.140625" bestFit="1" customWidth="1"/>
    <col min="5" max="5" width="9.85546875" customWidth="1"/>
    <col min="6" max="6" width="14" bestFit="1" customWidth="1"/>
  </cols>
  <sheetData>
    <row r="3" spans="2:6" x14ac:dyDescent="0.2">
      <c r="B3" s="416" t="s">
        <v>195</v>
      </c>
      <c r="C3" s="1"/>
      <c r="D3" s="417" t="s">
        <v>194</v>
      </c>
      <c r="E3" s="417" t="s">
        <v>179</v>
      </c>
      <c r="F3" s="417" t="s">
        <v>75</v>
      </c>
    </row>
    <row r="4" spans="2:6" x14ac:dyDescent="0.2">
      <c r="B4" s="1" t="s">
        <v>190</v>
      </c>
      <c r="C4" s="1"/>
      <c r="D4" s="63"/>
      <c r="E4" s="418"/>
      <c r="F4" s="63"/>
    </row>
    <row r="5" spans="2:6" x14ac:dyDescent="0.2">
      <c r="B5" s="1" t="s">
        <v>191</v>
      </c>
      <c r="C5" s="1"/>
      <c r="D5" s="63"/>
      <c r="E5" s="418"/>
      <c r="F5" s="63"/>
    </row>
    <row r="6" spans="2:6" x14ac:dyDescent="0.2">
      <c r="B6" s="1" t="s">
        <v>137</v>
      </c>
      <c r="C6" s="1"/>
      <c r="D6" s="63"/>
      <c r="E6" s="418"/>
      <c r="F6" s="63"/>
    </row>
    <row r="7" spans="2:6" x14ac:dyDescent="0.2">
      <c r="B7" s="1" t="s">
        <v>192</v>
      </c>
      <c r="C7" s="1"/>
      <c r="D7" s="63"/>
      <c r="E7" s="418"/>
      <c r="F7" s="63"/>
    </row>
    <row r="8" spans="2:6" x14ac:dyDescent="0.2">
      <c r="B8" s="1" t="s">
        <v>193</v>
      </c>
      <c r="C8" s="1"/>
      <c r="D8" s="63"/>
      <c r="E8" s="418"/>
      <c r="F8" s="63"/>
    </row>
    <row r="9" spans="2:6" x14ac:dyDescent="0.2">
      <c r="B9" s="1"/>
      <c r="C9" s="1"/>
      <c r="D9" s="63"/>
      <c r="E9" s="1"/>
      <c r="F9" s="63"/>
    </row>
    <row r="10" spans="2:6" x14ac:dyDescent="0.2">
      <c r="D10" s="65">
        <f>D9</f>
        <v>0</v>
      </c>
      <c r="E10">
        <f>E9</f>
        <v>0</v>
      </c>
      <c r="F10" s="65">
        <f>D10-E10</f>
        <v>0</v>
      </c>
    </row>
    <row r="11" spans="2:6" x14ac:dyDescent="0.2">
      <c r="F11" s="6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16</vt:i4>
      </vt:variant>
    </vt:vector>
  </HeadingPairs>
  <TitlesOfParts>
    <vt:vector size="29" baseType="lpstr">
      <vt:lpstr>KAUSAR  (2)</vt:lpstr>
      <vt:lpstr>BLANK SHEET</vt:lpstr>
      <vt:lpstr>STAFF PAYMENT DETAILS</vt:lpstr>
      <vt:lpstr>COM-PAYSHEET</vt:lpstr>
      <vt:lpstr>Blank-Format (2)</vt:lpstr>
      <vt:lpstr>STAFF PAYMENT DETAIL</vt:lpstr>
      <vt:lpstr>PAYMENT DETAL</vt:lpstr>
      <vt:lpstr>WEEKLY-1</vt:lpstr>
      <vt:lpstr>MONTH ATENDENCE SHEET</vt:lpstr>
      <vt:lpstr>Staff</vt:lpstr>
      <vt:lpstr>UP</vt:lpstr>
      <vt:lpstr>NARESH</vt:lpstr>
      <vt:lpstr>Sheet1</vt:lpstr>
      <vt:lpstr>'BLANK SHEET'!Print_Area</vt:lpstr>
      <vt:lpstr>'Blank-Format (2)'!Print_Area</vt:lpstr>
      <vt:lpstr>'COM-PAYSHEET'!Print_Area</vt:lpstr>
      <vt:lpstr>'KAUSAR  (2)'!Print_Area</vt:lpstr>
      <vt:lpstr>NARESH!Print_Area</vt:lpstr>
      <vt:lpstr>'PAYMENT DETAL'!Print_Area</vt:lpstr>
      <vt:lpstr>Staff!Print_Area</vt:lpstr>
      <vt:lpstr>'STAFF PAYMENT DETAIL'!Print_Area</vt:lpstr>
      <vt:lpstr>'STAFF PAYMENT DETAILS'!Print_Area</vt:lpstr>
      <vt:lpstr>UP!Print_Area</vt:lpstr>
      <vt:lpstr>'BLANK SHEET'!Print_Titles</vt:lpstr>
      <vt:lpstr>'COM-PAYSHEET'!Print_Titles</vt:lpstr>
      <vt:lpstr>'KAUSAR  (2)'!Print_Titles</vt:lpstr>
      <vt:lpstr>NARESH!Print_Titles</vt:lpstr>
      <vt:lpstr>'STAFF PAYMENT DETAILS'!Print_Titles</vt:lpstr>
      <vt:lpstr>UP!Print_Titles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Praney Singh</cp:lastModifiedBy>
  <cp:lastPrinted>2026-02-07T07:11:37Z</cp:lastPrinted>
  <dcterms:created xsi:type="dcterms:W3CDTF">2010-04-25T17:04:53Z</dcterms:created>
  <dcterms:modified xsi:type="dcterms:W3CDTF">2026-03-01T16:47:56Z</dcterms:modified>
</cp:coreProperties>
</file>